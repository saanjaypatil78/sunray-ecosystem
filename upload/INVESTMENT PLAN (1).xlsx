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oshan.Karnekar\Downloads\"/>
    </mc:Choice>
  </mc:AlternateContent>
  <xr:revisionPtr revIDLastSave="0" documentId="13_ncr:1_{ADDFE7DA-72DE-4CA7-B416-36CA8A3CB4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NTHLY" sheetId="4" r:id="rId1"/>
    <sheet name="Sheet1" sheetId="5" r:id="rId2"/>
    <sheet name="Sheet2" sheetId="6" r:id="rId3"/>
    <sheet name="BRONZE" sheetId="7" r:id="rId4"/>
    <sheet name="SILVER" sheetId="8" r:id="rId5"/>
    <sheet name="GOLD" sheetId="9" r:id="rId6"/>
    <sheet name="PLATINUM" sheetId="10" r:id="rId7"/>
    <sheet name="DIAMOND" sheetId="11" r:id="rId8"/>
    <sheet name="AMBASSADOR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2" l="1"/>
  <c r="K18" i="12"/>
  <c r="L18" i="12" s="1"/>
  <c r="D18" i="12"/>
  <c r="E17" i="12" s="1"/>
  <c r="K17" i="12" s="1"/>
  <c r="D17" i="12"/>
  <c r="F15" i="12" s="1"/>
  <c r="D16" i="12"/>
  <c r="F14" i="12" s="1"/>
  <c r="D15" i="12"/>
  <c r="E14" i="12" s="1"/>
  <c r="G14" i="12"/>
  <c r="D14" i="12"/>
  <c r="H13" i="12"/>
  <c r="E13" i="12"/>
  <c r="D13" i="12"/>
  <c r="I8" i="12" s="1"/>
  <c r="J12" i="12"/>
  <c r="F12" i="12"/>
  <c r="D12" i="12"/>
  <c r="G9" i="12" s="1"/>
  <c r="G11" i="12"/>
  <c r="F11" i="12"/>
  <c r="E11" i="12"/>
  <c r="D11" i="12"/>
  <c r="E10" i="12" s="1"/>
  <c r="H10" i="12"/>
  <c r="F10" i="12"/>
  <c r="D10" i="12"/>
  <c r="E9" i="12" s="1"/>
  <c r="J9" i="12"/>
  <c r="I9" i="12"/>
  <c r="D9" i="12"/>
  <c r="I4" i="12" s="1"/>
  <c r="J8" i="12"/>
  <c r="E8" i="12"/>
  <c r="D8" i="12"/>
  <c r="G5" i="12" s="1"/>
  <c r="G7" i="12"/>
  <c r="D7" i="12"/>
  <c r="E6" i="12" s="1"/>
  <c r="G6" i="12"/>
  <c r="D6" i="12"/>
  <c r="E5" i="12" s="1"/>
  <c r="I5" i="12"/>
  <c r="D5" i="12"/>
  <c r="E4" i="12"/>
  <c r="D4" i="12"/>
  <c r="E3" i="12" s="1"/>
  <c r="G3" i="12"/>
  <c r="F3" i="12"/>
  <c r="D3" i="12"/>
  <c r="C19" i="11"/>
  <c r="K18" i="11"/>
  <c r="D18" i="11"/>
  <c r="F16" i="11" s="1"/>
  <c r="E17" i="11"/>
  <c r="K17" i="11" s="1"/>
  <c r="D17" i="11"/>
  <c r="F15" i="11" s="1"/>
  <c r="D16" i="11"/>
  <c r="F14" i="11" s="1"/>
  <c r="D15" i="11"/>
  <c r="E14" i="11" s="1"/>
  <c r="D14" i="11"/>
  <c r="E13" i="11" s="1"/>
  <c r="I13" i="11"/>
  <c r="D13" i="11"/>
  <c r="I8" i="11" s="1"/>
  <c r="G12" i="11"/>
  <c r="E12" i="11"/>
  <c r="D12" i="11"/>
  <c r="G9" i="11" s="1"/>
  <c r="H11" i="11"/>
  <c r="F11" i="11"/>
  <c r="D11" i="11"/>
  <c r="E10" i="11" s="1"/>
  <c r="J10" i="11"/>
  <c r="I10" i="11"/>
  <c r="H10" i="11"/>
  <c r="G10" i="11"/>
  <c r="D10" i="11"/>
  <c r="F8" i="11" s="1"/>
  <c r="J9" i="11"/>
  <c r="H9" i="11"/>
  <c r="E9" i="11"/>
  <c r="D9" i="11"/>
  <c r="I4" i="11" s="1"/>
  <c r="J8" i="11"/>
  <c r="D8" i="11"/>
  <c r="G5" i="11" s="1"/>
  <c r="G7" i="11"/>
  <c r="E7" i="11"/>
  <c r="D7" i="11"/>
  <c r="E6" i="11" s="1"/>
  <c r="H6" i="11"/>
  <c r="D6" i="11"/>
  <c r="F4" i="11" s="1"/>
  <c r="I5" i="11"/>
  <c r="E5" i="11"/>
  <c r="D5" i="11"/>
  <c r="E4" i="11" s="1"/>
  <c r="J4" i="11"/>
  <c r="D4" i="11"/>
  <c r="G3" i="11"/>
  <c r="E3" i="11"/>
  <c r="D3" i="11"/>
  <c r="C19" i="10"/>
  <c r="K18" i="10"/>
  <c r="D18" i="10"/>
  <c r="F16" i="10" s="1"/>
  <c r="E17" i="10"/>
  <c r="K17" i="10" s="1"/>
  <c r="D17" i="10"/>
  <c r="F15" i="10" s="1"/>
  <c r="D16" i="10"/>
  <c r="F14" i="10" s="1"/>
  <c r="D15" i="10"/>
  <c r="E14" i="10" s="1"/>
  <c r="D14" i="10"/>
  <c r="E13" i="10" s="1"/>
  <c r="I13" i="10"/>
  <c r="D13" i="10"/>
  <c r="I8" i="10" s="1"/>
  <c r="G12" i="10"/>
  <c r="E12" i="10"/>
  <c r="D12" i="10"/>
  <c r="G9" i="10" s="1"/>
  <c r="H11" i="10"/>
  <c r="F11" i="10"/>
  <c r="D11" i="10"/>
  <c r="E10" i="10" s="1"/>
  <c r="J10" i="10"/>
  <c r="I10" i="10"/>
  <c r="H10" i="10"/>
  <c r="G10" i="10"/>
  <c r="D10" i="10"/>
  <c r="E9" i="10" s="1"/>
  <c r="J9" i="10"/>
  <c r="H9" i="10"/>
  <c r="D9" i="10"/>
  <c r="I4" i="10" s="1"/>
  <c r="J8" i="10"/>
  <c r="F8" i="10"/>
  <c r="D8" i="10"/>
  <c r="G5" i="10" s="1"/>
  <c r="G7" i="10"/>
  <c r="E7" i="10"/>
  <c r="D7" i="10"/>
  <c r="E6" i="10" s="1"/>
  <c r="H6" i="10"/>
  <c r="G6" i="10"/>
  <c r="D6" i="10"/>
  <c r="E5" i="10" s="1"/>
  <c r="I5" i="10"/>
  <c r="D5" i="10"/>
  <c r="F3" i="10" s="1"/>
  <c r="J4" i="10"/>
  <c r="F4" i="10"/>
  <c r="E4" i="10"/>
  <c r="D4" i="10"/>
  <c r="G3" i="10"/>
  <c r="E3" i="10"/>
  <c r="D3" i="10"/>
  <c r="C19" i="9"/>
  <c r="K18" i="9"/>
  <c r="D18" i="9"/>
  <c r="E17" i="9" s="1"/>
  <c r="K17" i="9" s="1"/>
  <c r="D17" i="9"/>
  <c r="F15" i="9" s="1"/>
  <c r="D16" i="9"/>
  <c r="F14" i="9" s="1"/>
  <c r="D15" i="9"/>
  <c r="E14" i="9" s="1"/>
  <c r="G14" i="9"/>
  <c r="D14" i="9"/>
  <c r="H13" i="9"/>
  <c r="E13" i="9"/>
  <c r="D13" i="9"/>
  <c r="I8" i="9" s="1"/>
  <c r="G12" i="9"/>
  <c r="F12" i="9"/>
  <c r="D12" i="9"/>
  <c r="G9" i="9" s="1"/>
  <c r="G11" i="9"/>
  <c r="F11" i="9"/>
  <c r="E11" i="9"/>
  <c r="D11" i="9"/>
  <c r="E10" i="9" s="1"/>
  <c r="J10" i="9"/>
  <c r="H10" i="9"/>
  <c r="F10" i="9"/>
  <c r="D10" i="9"/>
  <c r="E9" i="9" s="1"/>
  <c r="J9" i="9"/>
  <c r="I9" i="9"/>
  <c r="H9" i="9"/>
  <c r="D9" i="9"/>
  <c r="I4" i="9" s="1"/>
  <c r="J8" i="9"/>
  <c r="E8" i="9"/>
  <c r="D8" i="9"/>
  <c r="G5" i="9" s="1"/>
  <c r="G7" i="9"/>
  <c r="F7" i="9"/>
  <c r="D7" i="9"/>
  <c r="E6" i="9" s="1"/>
  <c r="G6" i="9"/>
  <c r="D6" i="9"/>
  <c r="E5" i="9" s="1"/>
  <c r="I5" i="9"/>
  <c r="H5" i="9"/>
  <c r="D5" i="9"/>
  <c r="E4" i="9"/>
  <c r="D4" i="9"/>
  <c r="E3" i="9" s="1"/>
  <c r="G3" i="9"/>
  <c r="F3" i="9"/>
  <c r="D3" i="9"/>
  <c r="C19" i="8"/>
  <c r="K18" i="8"/>
  <c r="L18" i="8" s="1"/>
  <c r="D18" i="8"/>
  <c r="F16" i="8" s="1"/>
  <c r="E17" i="8"/>
  <c r="K17" i="8" s="1"/>
  <c r="D17" i="8"/>
  <c r="F15" i="8" s="1"/>
  <c r="E16" i="8"/>
  <c r="K16" i="8" s="1"/>
  <c r="D16" i="8"/>
  <c r="E15" i="8" s="1"/>
  <c r="G15" i="8"/>
  <c r="D15" i="8"/>
  <c r="E14" i="8" s="1"/>
  <c r="D14" i="8"/>
  <c r="F12" i="8" s="1"/>
  <c r="I13" i="8"/>
  <c r="H13" i="8"/>
  <c r="G13" i="8"/>
  <c r="E13" i="8"/>
  <c r="D13" i="8"/>
  <c r="E12" i="8" s="1"/>
  <c r="J12" i="8"/>
  <c r="D12" i="8"/>
  <c r="G9" i="8" s="1"/>
  <c r="F11" i="8"/>
  <c r="E11" i="8"/>
  <c r="D11" i="8"/>
  <c r="E10" i="8" s="1"/>
  <c r="G10" i="8"/>
  <c r="D10" i="8"/>
  <c r="F8" i="8" s="1"/>
  <c r="I9" i="8"/>
  <c r="H9" i="8"/>
  <c r="E9" i="8"/>
  <c r="D9" i="8"/>
  <c r="E8" i="8" s="1"/>
  <c r="I8" i="8"/>
  <c r="D8" i="8"/>
  <c r="G5" i="8" s="1"/>
  <c r="J7" i="8"/>
  <c r="I7" i="8"/>
  <c r="G7" i="8"/>
  <c r="F7" i="8"/>
  <c r="D7" i="8"/>
  <c r="E6" i="8" s="1"/>
  <c r="H6" i="8"/>
  <c r="F6" i="8"/>
  <c r="D6" i="8"/>
  <c r="E5" i="8" s="1"/>
  <c r="I5" i="8"/>
  <c r="D5" i="8"/>
  <c r="E4" i="8" s="1"/>
  <c r="J4" i="8"/>
  <c r="D4" i="8"/>
  <c r="E3" i="8" s="1"/>
  <c r="J3" i="8"/>
  <c r="F3" i="8"/>
  <c r="D3" i="8"/>
  <c r="C19" i="7"/>
  <c r="K18" i="7"/>
  <c r="D18" i="7"/>
  <c r="F16" i="7" s="1"/>
  <c r="D17" i="7"/>
  <c r="F15" i="7" s="1"/>
  <c r="D16" i="7"/>
  <c r="F14" i="7" s="1"/>
  <c r="G15" i="7"/>
  <c r="D15" i="7"/>
  <c r="E14" i="7" s="1"/>
  <c r="D14" i="7"/>
  <c r="F12" i="7" s="1"/>
  <c r="D13" i="7"/>
  <c r="I8" i="7" s="1"/>
  <c r="D12" i="7"/>
  <c r="G9" i="7" s="1"/>
  <c r="H11" i="7"/>
  <c r="G11" i="7"/>
  <c r="F11" i="7"/>
  <c r="D11" i="7"/>
  <c r="E10" i="7" s="1"/>
  <c r="D10" i="7"/>
  <c r="E9" i="7" s="1"/>
  <c r="J9" i="7"/>
  <c r="D9" i="7"/>
  <c r="I4" i="7" s="1"/>
  <c r="J8" i="7"/>
  <c r="D8" i="7"/>
  <c r="G5" i="7" s="1"/>
  <c r="E7" i="7"/>
  <c r="D7" i="7"/>
  <c r="E6" i="7" s="1"/>
  <c r="D6" i="7"/>
  <c r="G3" i="7" s="1"/>
  <c r="E5" i="7"/>
  <c r="D5" i="7"/>
  <c r="F3" i="7" s="1"/>
  <c r="E4" i="7"/>
  <c r="D4" i="7"/>
  <c r="E3" i="7"/>
  <c r="D3" i="7"/>
  <c r="C9" i="6"/>
  <c r="K12" i="5"/>
  <c r="K11" i="5"/>
  <c r="K10" i="5"/>
  <c r="K9" i="5"/>
  <c r="K8" i="5"/>
  <c r="K7" i="5"/>
  <c r="K6" i="5"/>
  <c r="K5" i="5"/>
  <c r="K4" i="5"/>
  <c r="K3" i="5"/>
  <c r="J13" i="5"/>
  <c r="J12" i="5"/>
  <c r="J11" i="5"/>
  <c r="J10" i="5"/>
  <c r="J9" i="5"/>
  <c r="J8" i="5"/>
  <c r="J7" i="5"/>
  <c r="J6" i="5"/>
  <c r="J5" i="5"/>
  <c r="J4" i="5"/>
  <c r="J3" i="5"/>
  <c r="I14" i="5"/>
  <c r="I13" i="5"/>
  <c r="I12" i="5"/>
  <c r="I11" i="5"/>
  <c r="I10" i="5"/>
  <c r="I9" i="5"/>
  <c r="I8" i="5"/>
  <c r="I7" i="5"/>
  <c r="I6" i="5"/>
  <c r="I5" i="5"/>
  <c r="I4" i="5"/>
  <c r="I3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F17" i="5"/>
  <c r="L17" i="5" s="1"/>
  <c r="M17" i="5" s="1"/>
  <c r="N17" i="5" s="1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L18" i="5"/>
  <c r="M18" i="5" s="1"/>
  <c r="C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L18" i="4"/>
  <c r="P9" i="4"/>
  <c r="K18" i="4"/>
  <c r="I13" i="7" l="1"/>
  <c r="F6" i="7"/>
  <c r="F4" i="8"/>
  <c r="D19" i="8"/>
  <c r="D20" i="8" s="1"/>
  <c r="I4" i="8"/>
  <c r="G6" i="8"/>
  <c r="I11" i="8"/>
  <c r="J6" i="8"/>
  <c r="F10" i="8"/>
  <c r="G12" i="8"/>
  <c r="K12" i="8" s="1"/>
  <c r="F14" i="8"/>
  <c r="G3" i="8"/>
  <c r="G14" i="8"/>
  <c r="I3" i="8"/>
  <c r="H5" i="8"/>
  <c r="E7" i="8"/>
  <c r="J8" i="8"/>
  <c r="J10" i="8"/>
  <c r="H14" i="8"/>
  <c r="H14" i="9"/>
  <c r="J12" i="9"/>
  <c r="F6" i="9"/>
  <c r="G15" i="9"/>
  <c r="F4" i="9"/>
  <c r="F8" i="9"/>
  <c r="J4" i="9"/>
  <c r="H6" i="9"/>
  <c r="G10" i="9"/>
  <c r="H11" i="9"/>
  <c r="F16" i="9"/>
  <c r="D19" i="9"/>
  <c r="D20" i="9" s="1"/>
  <c r="I13" i="9"/>
  <c r="E7" i="9"/>
  <c r="I10" i="9"/>
  <c r="K10" i="9" s="1"/>
  <c r="L10" i="9" s="1"/>
  <c r="M10" i="9" s="1"/>
  <c r="E12" i="9"/>
  <c r="D19" i="10"/>
  <c r="D20" i="10" s="1"/>
  <c r="F12" i="10"/>
  <c r="G14" i="10"/>
  <c r="F7" i="10"/>
  <c r="K14" i="10"/>
  <c r="G15" i="10"/>
  <c r="H13" i="10"/>
  <c r="H5" i="10"/>
  <c r="I9" i="10"/>
  <c r="H14" i="10"/>
  <c r="E11" i="10"/>
  <c r="J12" i="10"/>
  <c r="F6" i="10"/>
  <c r="E8" i="10"/>
  <c r="E19" i="10" s="1"/>
  <c r="E20" i="10" s="1"/>
  <c r="F10" i="10"/>
  <c r="K10" i="10" s="1"/>
  <c r="L10" i="10" s="1"/>
  <c r="M10" i="10" s="1"/>
  <c r="G11" i="10"/>
  <c r="H13" i="11"/>
  <c r="D19" i="11"/>
  <c r="D20" i="11" s="1"/>
  <c r="F3" i="11"/>
  <c r="I9" i="11"/>
  <c r="H14" i="11"/>
  <c r="E11" i="11"/>
  <c r="J12" i="11"/>
  <c r="K14" i="11"/>
  <c r="L14" i="11" s="1"/>
  <c r="M14" i="11" s="1"/>
  <c r="F7" i="11"/>
  <c r="G14" i="11"/>
  <c r="F6" i="11"/>
  <c r="E8" i="11"/>
  <c r="G15" i="11"/>
  <c r="H5" i="11"/>
  <c r="F12" i="11"/>
  <c r="G6" i="11"/>
  <c r="F10" i="11"/>
  <c r="G11" i="11"/>
  <c r="H14" i="12"/>
  <c r="F6" i="12"/>
  <c r="K14" i="12"/>
  <c r="I10" i="12"/>
  <c r="I13" i="12"/>
  <c r="D19" i="12"/>
  <c r="D20" i="12" s="1"/>
  <c r="E7" i="12"/>
  <c r="H9" i="12"/>
  <c r="J10" i="12"/>
  <c r="F8" i="12"/>
  <c r="G10" i="12"/>
  <c r="H11" i="12"/>
  <c r="F13" i="12"/>
  <c r="G15" i="12"/>
  <c r="F4" i="12"/>
  <c r="H6" i="12"/>
  <c r="J4" i="12"/>
  <c r="E12" i="12"/>
  <c r="F16" i="12"/>
  <c r="H5" i="12"/>
  <c r="F7" i="12"/>
  <c r="G12" i="12"/>
  <c r="F10" i="7"/>
  <c r="G12" i="7"/>
  <c r="F4" i="7"/>
  <c r="I10" i="7"/>
  <c r="E13" i="7"/>
  <c r="E17" i="7"/>
  <c r="K17" i="7" s="1"/>
  <c r="L17" i="7" s="1"/>
  <c r="M17" i="7" s="1"/>
  <c r="G6" i="7"/>
  <c r="H10" i="7"/>
  <c r="E8" i="7"/>
  <c r="H13" i="7"/>
  <c r="I5" i="7"/>
  <c r="G7" i="7"/>
  <c r="I9" i="7"/>
  <c r="H14" i="7"/>
  <c r="F8" i="7"/>
  <c r="J4" i="7"/>
  <c r="H6" i="7"/>
  <c r="G10" i="7"/>
  <c r="D19" i="7"/>
  <c r="D20" i="7" s="1"/>
  <c r="E12" i="7"/>
  <c r="H5" i="7"/>
  <c r="F7" i="7"/>
  <c r="H9" i="7"/>
  <c r="J10" i="7"/>
  <c r="G14" i="7"/>
  <c r="E11" i="7"/>
  <c r="J12" i="7"/>
  <c r="K10" i="12"/>
  <c r="L14" i="12"/>
  <c r="M14" i="12" s="1"/>
  <c r="L10" i="12"/>
  <c r="M10" i="12" s="1"/>
  <c r="L17" i="12"/>
  <c r="M17" i="12" s="1"/>
  <c r="M18" i="12"/>
  <c r="I6" i="12"/>
  <c r="I3" i="12"/>
  <c r="G4" i="12"/>
  <c r="I7" i="12"/>
  <c r="G8" i="12"/>
  <c r="I11" i="12"/>
  <c r="E16" i="12"/>
  <c r="J6" i="12"/>
  <c r="J3" i="12"/>
  <c r="H4" i="12"/>
  <c r="F5" i="12"/>
  <c r="K5" i="12" s="1"/>
  <c r="J7" i="12"/>
  <c r="H8" i="12"/>
  <c r="F9" i="12"/>
  <c r="K9" i="12" s="1"/>
  <c r="J11" i="12"/>
  <c r="H12" i="12"/>
  <c r="E15" i="12"/>
  <c r="J5" i="12"/>
  <c r="H3" i="12"/>
  <c r="H7" i="12"/>
  <c r="I12" i="12"/>
  <c r="G13" i="12"/>
  <c r="K13" i="12" s="1"/>
  <c r="K10" i="11"/>
  <c r="L17" i="11"/>
  <c r="M17" i="11" s="1"/>
  <c r="L10" i="11"/>
  <c r="M10" i="11" s="1"/>
  <c r="L18" i="11"/>
  <c r="M18" i="11" s="1"/>
  <c r="J5" i="11"/>
  <c r="H3" i="11"/>
  <c r="J6" i="11"/>
  <c r="H7" i="11"/>
  <c r="I3" i="11"/>
  <c r="G4" i="11"/>
  <c r="K4" i="11" s="1"/>
  <c r="I7" i="11"/>
  <c r="K7" i="11" s="1"/>
  <c r="G8" i="11"/>
  <c r="I11" i="11"/>
  <c r="E16" i="11"/>
  <c r="K16" i="11" s="1"/>
  <c r="J3" i="11"/>
  <c r="H4" i="11"/>
  <c r="F5" i="11"/>
  <c r="J7" i="11"/>
  <c r="H8" i="11"/>
  <c r="F9" i="11"/>
  <c r="K9" i="11" s="1"/>
  <c r="J11" i="11"/>
  <c r="H12" i="11"/>
  <c r="F13" i="11"/>
  <c r="E15" i="11"/>
  <c r="I6" i="11"/>
  <c r="I12" i="11"/>
  <c r="G13" i="11"/>
  <c r="L14" i="10"/>
  <c r="M14" i="10"/>
  <c r="L17" i="10"/>
  <c r="M17" i="10" s="1"/>
  <c r="J5" i="10"/>
  <c r="J6" i="10"/>
  <c r="I3" i="10"/>
  <c r="G4" i="10"/>
  <c r="I7" i="10"/>
  <c r="G8" i="10"/>
  <c r="I11" i="10"/>
  <c r="E16" i="10"/>
  <c r="K16" i="10" s="1"/>
  <c r="L18" i="10"/>
  <c r="M18" i="10" s="1"/>
  <c r="H7" i="10"/>
  <c r="J3" i="10"/>
  <c r="H4" i="10"/>
  <c r="F5" i="10"/>
  <c r="J7" i="10"/>
  <c r="H8" i="10"/>
  <c r="F9" i="10"/>
  <c r="K9" i="10" s="1"/>
  <c r="J11" i="10"/>
  <c r="H12" i="10"/>
  <c r="F13" i="10"/>
  <c r="E15" i="10"/>
  <c r="K15" i="10" s="1"/>
  <c r="I6" i="10"/>
  <c r="H3" i="10"/>
  <c r="I12" i="10"/>
  <c r="G13" i="10"/>
  <c r="L17" i="9"/>
  <c r="M17" i="9"/>
  <c r="K14" i="9"/>
  <c r="L18" i="9"/>
  <c r="M18" i="9" s="1"/>
  <c r="J5" i="9"/>
  <c r="J3" i="9"/>
  <c r="J19" i="9" s="1"/>
  <c r="J20" i="9" s="1"/>
  <c r="H4" i="9"/>
  <c r="F5" i="9"/>
  <c r="J7" i="9"/>
  <c r="H8" i="9"/>
  <c r="F9" i="9"/>
  <c r="K9" i="9" s="1"/>
  <c r="J11" i="9"/>
  <c r="K11" i="9" s="1"/>
  <c r="H12" i="9"/>
  <c r="F13" i="9"/>
  <c r="K13" i="9" s="1"/>
  <c r="E15" i="9"/>
  <c r="I6" i="9"/>
  <c r="H3" i="9"/>
  <c r="J6" i="9"/>
  <c r="H7" i="9"/>
  <c r="I3" i="9"/>
  <c r="G4" i="9"/>
  <c r="G19" i="9" s="1"/>
  <c r="G20" i="9" s="1"/>
  <c r="I7" i="9"/>
  <c r="G8" i="9"/>
  <c r="I11" i="9"/>
  <c r="E16" i="9"/>
  <c r="K16" i="9" s="1"/>
  <c r="I12" i="9"/>
  <c r="G13" i="9"/>
  <c r="K15" i="8"/>
  <c r="K14" i="8"/>
  <c r="L14" i="8" s="1"/>
  <c r="M14" i="8" s="1"/>
  <c r="L15" i="8"/>
  <c r="M15" i="8" s="1"/>
  <c r="L16" i="8"/>
  <c r="M16" i="8" s="1"/>
  <c r="L17" i="8"/>
  <c r="M17" i="8" s="1"/>
  <c r="J5" i="8"/>
  <c r="J9" i="8"/>
  <c r="H10" i="8"/>
  <c r="M18" i="8"/>
  <c r="I6" i="8"/>
  <c r="I10" i="8"/>
  <c r="G11" i="8"/>
  <c r="H3" i="8"/>
  <c r="H7" i="8"/>
  <c r="H11" i="8"/>
  <c r="G4" i="8"/>
  <c r="G8" i="8"/>
  <c r="E19" i="8"/>
  <c r="E20" i="8" s="1"/>
  <c r="H4" i="8"/>
  <c r="F5" i="8"/>
  <c r="H8" i="8"/>
  <c r="F9" i="8"/>
  <c r="J11" i="8"/>
  <c r="H12" i="8"/>
  <c r="F13" i="8"/>
  <c r="K13" i="8" s="1"/>
  <c r="I12" i="8"/>
  <c r="L18" i="7"/>
  <c r="M18" i="7" s="1"/>
  <c r="J5" i="7"/>
  <c r="I6" i="7"/>
  <c r="J6" i="7"/>
  <c r="I7" i="7"/>
  <c r="G8" i="7"/>
  <c r="I11" i="7"/>
  <c r="E16" i="7"/>
  <c r="K16" i="7" s="1"/>
  <c r="J3" i="7"/>
  <c r="H4" i="7"/>
  <c r="F5" i="7"/>
  <c r="J7" i="7"/>
  <c r="H8" i="7"/>
  <c r="F9" i="7"/>
  <c r="J11" i="7"/>
  <c r="H12" i="7"/>
  <c r="F13" i="7"/>
  <c r="E15" i="7"/>
  <c r="K15" i="7" s="1"/>
  <c r="H3" i="7"/>
  <c r="H7" i="7"/>
  <c r="I3" i="7"/>
  <c r="G4" i="7"/>
  <c r="I12" i="7"/>
  <c r="G13" i="7"/>
  <c r="L15" i="5"/>
  <c r="L4" i="5"/>
  <c r="M4" i="5" s="1"/>
  <c r="N4" i="5" s="1"/>
  <c r="L16" i="5"/>
  <c r="M16" i="5" s="1"/>
  <c r="N16" i="5" s="1"/>
  <c r="I19" i="5"/>
  <c r="I20" i="5" s="1"/>
  <c r="J19" i="5"/>
  <c r="J20" i="5" s="1"/>
  <c r="L5" i="5"/>
  <c r="H19" i="5"/>
  <c r="H20" i="5" s="1"/>
  <c r="D19" i="5"/>
  <c r="D20" i="5" s="1"/>
  <c r="N18" i="5"/>
  <c r="F19" i="5"/>
  <c r="F20" i="5" s="1"/>
  <c r="L6" i="5"/>
  <c r="L3" i="5"/>
  <c r="M18" i="4"/>
  <c r="C18" i="4"/>
  <c r="C17" i="4"/>
  <c r="C16" i="4"/>
  <c r="C15" i="4"/>
  <c r="C14" i="4"/>
  <c r="C13" i="4"/>
  <c r="C12" i="4"/>
  <c r="C11" i="4"/>
  <c r="C10" i="4"/>
  <c r="B19" i="4"/>
  <c r="C9" i="4"/>
  <c r="C8" i="4"/>
  <c r="C7" i="4"/>
  <c r="C6" i="4"/>
  <c r="C5" i="4"/>
  <c r="C4" i="4"/>
  <c r="C3" i="4"/>
  <c r="J3" i="4" s="1"/>
  <c r="K10" i="7" l="1"/>
  <c r="L10" i="7" s="1"/>
  <c r="M10" i="7" s="1"/>
  <c r="K9" i="8"/>
  <c r="K7" i="8"/>
  <c r="J19" i="8"/>
  <c r="J20" i="8" s="1"/>
  <c r="K3" i="8"/>
  <c r="K11" i="8"/>
  <c r="L11" i="8" s="1"/>
  <c r="K4" i="8"/>
  <c r="K10" i="8"/>
  <c r="L10" i="8" s="1"/>
  <c r="M10" i="8" s="1"/>
  <c r="K12" i="9"/>
  <c r="K15" i="9"/>
  <c r="L15" i="9" s="1"/>
  <c r="M15" i="9" s="1"/>
  <c r="K11" i="10"/>
  <c r="K6" i="10"/>
  <c r="K15" i="11"/>
  <c r="L15" i="11" s="1"/>
  <c r="M15" i="11" s="1"/>
  <c r="K7" i="12"/>
  <c r="K3" i="12"/>
  <c r="K15" i="12"/>
  <c r="K6" i="12"/>
  <c r="K12" i="12"/>
  <c r="K11" i="12"/>
  <c r="K16" i="12"/>
  <c r="L16" i="12" s="1"/>
  <c r="M16" i="12" s="1"/>
  <c r="K13" i="7"/>
  <c r="K9" i="7"/>
  <c r="L9" i="7" s="1"/>
  <c r="M9" i="7" s="1"/>
  <c r="K14" i="7"/>
  <c r="L14" i="7" s="1"/>
  <c r="M14" i="7" s="1"/>
  <c r="E19" i="12"/>
  <c r="E20" i="12" s="1"/>
  <c r="L6" i="12"/>
  <c r="M6" i="12" s="1"/>
  <c r="L11" i="12"/>
  <c r="M11" i="12" s="1"/>
  <c r="L9" i="12"/>
  <c r="M9" i="12"/>
  <c r="L5" i="12"/>
  <c r="M5" i="12" s="1"/>
  <c r="F19" i="12"/>
  <c r="F20" i="12" s="1"/>
  <c r="K4" i="12"/>
  <c r="L12" i="12"/>
  <c r="M12" i="12" s="1"/>
  <c r="L3" i="12"/>
  <c r="L7" i="12"/>
  <c r="M7" i="12" s="1"/>
  <c r="L13" i="12"/>
  <c r="M13" i="12" s="1"/>
  <c r="K8" i="12"/>
  <c r="H19" i="12"/>
  <c r="H20" i="12" s="1"/>
  <c r="L15" i="12"/>
  <c r="M15" i="12" s="1"/>
  <c r="J19" i="12"/>
  <c r="J20" i="12" s="1"/>
  <c r="I19" i="12"/>
  <c r="I20" i="12" s="1"/>
  <c r="G19" i="12"/>
  <c r="G20" i="12" s="1"/>
  <c r="K11" i="11"/>
  <c r="K6" i="11"/>
  <c r="H19" i="11"/>
  <c r="H20" i="11" s="1"/>
  <c r="L11" i="11"/>
  <c r="M11" i="11" s="1"/>
  <c r="L6" i="11"/>
  <c r="M6" i="11" s="1"/>
  <c r="L16" i="11"/>
  <c r="M16" i="11" s="1"/>
  <c r="L7" i="11"/>
  <c r="M7" i="11" s="1"/>
  <c r="L9" i="11"/>
  <c r="M9" i="11" s="1"/>
  <c r="K3" i="11"/>
  <c r="K8" i="11"/>
  <c r="K5" i="11"/>
  <c r="L4" i="11"/>
  <c r="M4" i="11"/>
  <c r="I19" i="11"/>
  <c r="I20" i="11" s="1"/>
  <c r="G19" i="11"/>
  <c r="G20" i="11" s="1"/>
  <c r="K13" i="11"/>
  <c r="J19" i="11"/>
  <c r="J20" i="11" s="1"/>
  <c r="K12" i="11"/>
  <c r="E19" i="11"/>
  <c r="E20" i="11" s="1"/>
  <c r="F19" i="11"/>
  <c r="F20" i="11" s="1"/>
  <c r="K7" i="10"/>
  <c r="L7" i="10" s="1"/>
  <c r="M7" i="10" s="1"/>
  <c r="F19" i="10"/>
  <c r="F20" i="10" s="1"/>
  <c r="L11" i="10"/>
  <c r="M11" i="10" s="1"/>
  <c r="L6" i="10"/>
  <c r="M6" i="10" s="1"/>
  <c r="L9" i="10"/>
  <c r="M9" i="10"/>
  <c r="L16" i="10"/>
  <c r="M16" i="10" s="1"/>
  <c r="H19" i="10"/>
  <c r="H20" i="10" s="1"/>
  <c r="K8" i="10"/>
  <c r="K3" i="10"/>
  <c r="K5" i="10"/>
  <c r="L15" i="10"/>
  <c r="M15" i="10" s="1"/>
  <c r="G19" i="10"/>
  <c r="G20" i="10" s="1"/>
  <c r="K13" i="10"/>
  <c r="J19" i="10"/>
  <c r="J20" i="10" s="1"/>
  <c r="K4" i="10"/>
  <c r="K12" i="10"/>
  <c r="I19" i="10"/>
  <c r="I20" i="10" s="1"/>
  <c r="K6" i="9"/>
  <c r="K7" i="9"/>
  <c r="K8" i="9"/>
  <c r="L11" i="9"/>
  <c r="M11" i="9" s="1"/>
  <c r="L7" i="9"/>
  <c r="M7" i="9" s="1"/>
  <c r="L6" i="9"/>
  <c r="M6" i="9" s="1"/>
  <c r="L12" i="9"/>
  <c r="M12" i="9" s="1"/>
  <c r="I19" i="9"/>
  <c r="I20" i="9" s="1"/>
  <c r="F19" i="9"/>
  <c r="F20" i="9" s="1"/>
  <c r="E19" i="9"/>
  <c r="E20" i="9" s="1"/>
  <c r="L16" i="9"/>
  <c r="M16" i="9" s="1"/>
  <c r="H19" i="9"/>
  <c r="H20" i="9" s="1"/>
  <c r="L8" i="9"/>
  <c r="M8" i="9" s="1"/>
  <c r="L13" i="9"/>
  <c r="M13" i="9" s="1"/>
  <c r="K4" i="9"/>
  <c r="K3" i="9"/>
  <c r="L9" i="9"/>
  <c r="M9" i="9" s="1"/>
  <c r="L14" i="9"/>
  <c r="M14" i="9" s="1"/>
  <c r="K5" i="9"/>
  <c r="K5" i="8"/>
  <c r="L5" i="8" s="1"/>
  <c r="M5" i="8" s="1"/>
  <c r="I19" i="8"/>
  <c r="I20" i="8" s="1"/>
  <c r="K8" i="8"/>
  <c r="L8" i="8" s="1"/>
  <c r="M8" i="8" s="1"/>
  <c r="L3" i="8"/>
  <c r="M3" i="8" s="1"/>
  <c r="L9" i="8"/>
  <c r="M9" i="8" s="1"/>
  <c r="L7" i="8"/>
  <c r="M7" i="8" s="1"/>
  <c r="L12" i="8"/>
  <c r="M12" i="8" s="1"/>
  <c r="L4" i="8"/>
  <c r="M4" i="8" s="1"/>
  <c r="K6" i="8"/>
  <c r="L13" i="8"/>
  <c r="M13" i="8" s="1"/>
  <c r="G19" i="8"/>
  <c r="G20" i="8" s="1"/>
  <c r="F19" i="8"/>
  <c r="F20" i="8" s="1"/>
  <c r="H19" i="8"/>
  <c r="H20" i="8" s="1"/>
  <c r="K11" i="7"/>
  <c r="L11" i="7" s="1"/>
  <c r="K6" i="7"/>
  <c r="L6" i="7" s="1"/>
  <c r="M6" i="7" s="1"/>
  <c r="J19" i="7"/>
  <c r="J20" i="7" s="1"/>
  <c r="K7" i="7"/>
  <c r="L7" i="7" s="1"/>
  <c r="M7" i="7" s="1"/>
  <c r="K12" i="7"/>
  <c r="L12" i="7" s="1"/>
  <c r="L15" i="7"/>
  <c r="M15" i="7" s="1"/>
  <c r="L13" i="7"/>
  <c r="M13" i="7" s="1"/>
  <c r="K3" i="7"/>
  <c r="E19" i="7"/>
  <c r="E20" i="7" s="1"/>
  <c r="L16" i="7"/>
  <c r="M16" i="7" s="1"/>
  <c r="K4" i="7"/>
  <c r="I19" i="7"/>
  <c r="I20" i="7" s="1"/>
  <c r="K8" i="7"/>
  <c r="G19" i="7"/>
  <c r="G20" i="7" s="1"/>
  <c r="H19" i="7"/>
  <c r="H20" i="7" s="1"/>
  <c r="K5" i="7"/>
  <c r="F19" i="7"/>
  <c r="F20" i="7" s="1"/>
  <c r="L9" i="5"/>
  <c r="M9" i="5" s="1"/>
  <c r="L8" i="5"/>
  <c r="M8" i="5" s="1"/>
  <c r="N8" i="5" s="1"/>
  <c r="K19" i="5"/>
  <c r="K20" i="5" s="1"/>
  <c r="L11" i="5"/>
  <c r="M11" i="5" s="1"/>
  <c r="N11" i="5" s="1"/>
  <c r="L10" i="5"/>
  <c r="M10" i="5" s="1"/>
  <c r="N10" i="5" s="1"/>
  <c r="L7" i="5"/>
  <c r="M7" i="5" s="1"/>
  <c r="N7" i="5" s="1"/>
  <c r="G19" i="5"/>
  <c r="G20" i="5" s="1"/>
  <c r="L13" i="5"/>
  <c r="M13" i="5" s="1"/>
  <c r="N13" i="5" s="1"/>
  <c r="L12" i="5"/>
  <c r="M12" i="5" s="1"/>
  <c r="N12" i="5" s="1"/>
  <c r="L14" i="5"/>
  <c r="M14" i="5" s="1"/>
  <c r="N14" i="5" s="1"/>
  <c r="M15" i="5"/>
  <c r="N15" i="5" s="1"/>
  <c r="M5" i="5"/>
  <c r="N5" i="5" s="1"/>
  <c r="M3" i="5"/>
  <c r="N3" i="5" s="1"/>
  <c r="M6" i="5"/>
  <c r="N6" i="5" s="1"/>
  <c r="G9" i="4"/>
  <c r="J13" i="4"/>
  <c r="H3" i="4"/>
  <c r="J8" i="4"/>
  <c r="H4" i="4"/>
  <c r="J9" i="4"/>
  <c r="D16" i="4"/>
  <c r="J17" i="4"/>
  <c r="F7" i="4"/>
  <c r="J10" i="4"/>
  <c r="J18" i="4"/>
  <c r="F3" i="4"/>
  <c r="J6" i="4"/>
  <c r="D6" i="4"/>
  <c r="J7" i="4"/>
  <c r="E13" i="4"/>
  <c r="J15" i="4"/>
  <c r="D10" i="4"/>
  <c r="J11" i="4"/>
  <c r="F11" i="4"/>
  <c r="J14" i="4"/>
  <c r="D15" i="4"/>
  <c r="J16" i="4"/>
  <c r="D4" i="4"/>
  <c r="J5" i="4"/>
  <c r="I6" i="4"/>
  <c r="J12" i="4"/>
  <c r="D3" i="4"/>
  <c r="J4" i="4"/>
  <c r="G13" i="4"/>
  <c r="D17" i="4"/>
  <c r="K17" i="4" s="1"/>
  <c r="E8" i="4"/>
  <c r="E9" i="4"/>
  <c r="G14" i="4"/>
  <c r="H8" i="4"/>
  <c r="F12" i="4"/>
  <c r="I8" i="4"/>
  <c r="F13" i="4"/>
  <c r="I9" i="4"/>
  <c r="F14" i="4"/>
  <c r="I10" i="4"/>
  <c r="F15" i="4"/>
  <c r="H9" i="4"/>
  <c r="I4" i="4"/>
  <c r="E14" i="4"/>
  <c r="G6" i="4"/>
  <c r="H10" i="4"/>
  <c r="D8" i="4"/>
  <c r="E15" i="4"/>
  <c r="G10" i="4"/>
  <c r="H11" i="4"/>
  <c r="D9" i="4"/>
  <c r="E16" i="4"/>
  <c r="G11" i="4"/>
  <c r="H12" i="4"/>
  <c r="G12" i="4"/>
  <c r="I7" i="4"/>
  <c r="D12" i="4"/>
  <c r="E10" i="4"/>
  <c r="F8" i="4"/>
  <c r="I11" i="4"/>
  <c r="D13" i="4"/>
  <c r="E11" i="4"/>
  <c r="F9" i="4"/>
  <c r="G7" i="4"/>
  <c r="H5" i="4"/>
  <c r="H13" i="4"/>
  <c r="I12" i="4"/>
  <c r="D14" i="4"/>
  <c r="E12" i="4"/>
  <c r="F10" i="4"/>
  <c r="G8" i="4"/>
  <c r="H6" i="4"/>
  <c r="I5" i="4"/>
  <c r="C19" i="4"/>
  <c r="D11" i="4"/>
  <c r="H7" i="4"/>
  <c r="E3" i="4"/>
  <c r="D7" i="4"/>
  <c r="F4" i="4"/>
  <c r="E7" i="4"/>
  <c r="F6" i="4"/>
  <c r="I3" i="4"/>
  <c r="F5" i="4"/>
  <c r="E4" i="4"/>
  <c r="G3" i="4"/>
  <c r="E5" i="4"/>
  <c r="G4" i="4"/>
  <c r="E6" i="4"/>
  <c r="G5" i="4"/>
  <c r="D5" i="4"/>
  <c r="M11" i="8" l="1"/>
  <c r="M11" i="7"/>
  <c r="M12" i="7"/>
  <c r="M3" i="12"/>
  <c r="L8" i="12"/>
  <c r="M8" i="12" s="1"/>
  <c r="L4" i="12"/>
  <c r="L19" i="12" s="1"/>
  <c r="L20" i="12" s="1"/>
  <c r="K19" i="12"/>
  <c r="K20" i="12" s="1"/>
  <c r="L12" i="11"/>
  <c r="M12" i="11"/>
  <c r="L5" i="11"/>
  <c r="M5" i="11" s="1"/>
  <c r="L8" i="11"/>
  <c r="M8" i="11" s="1"/>
  <c r="K19" i="11"/>
  <c r="K20" i="11" s="1"/>
  <c r="L3" i="11"/>
  <c r="M3" i="11" s="1"/>
  <c r="L13" i="11"/>
  <c r="M13" i="11" s="1"/>
  <c r="L4" i="10"/>
  <c r="M4" i="10" s="1"/>
  <c r="L13" i="10"/>
  <c r="M13" i="10" s="1"/>
  <c r="L5" i="10"/>
  <c r="M5" i="10"/>
  <c r="L12" i="10"/>
  <c r="M12" i="10" s="1"/>
  <c r="K19" i="10"/>
  <c r="K20" i="10" s="1"/>
  <c r="L3" i="10"/>
  <c r="L8" i="10"/>
  <c r="M8" i="10" s="1"/>
  <c r="K19" i="9"/>
  <c r="K20" i="9" s="1"/>
  <c r="L3" i="9"/>
  <c r="L4" i="9"/>
  <c r="M4" i="9" s="1"/>
  <c r="L5" i="9"/>
  <c r="M5" i="9" s="1"/>
  <c r="L6" i="8"/>
  <c r="L19" i="8" s="1"/>
  <c r="L20" i="8" s="1"/>
  <c r="K19" i="8"/>
  <c r="K20" i="8" s="1"/>
  <c r="L5" i="7"/>
  <c r="M5" i="7" s="1"/>
  <c r="K19" i="7"/>
  <c r="K20" i="7" s="1"/>
  <c r="L3" i="7"/>
  <c r="L8" i="7"/>
  <c r="M8" i="7" s="1"/>
  <c r="L4" i="7"/>
  <c r="M4" i="7" s="1"/>
  <c r="N9" i="5"/>
  <c r="N19" i="5" s="1"/>
  <c r="N20" i="5" s="1"/>
  <c r="L17" i="4"/>
  <c r="M17" i="4" s="1"/>
  <c r="L19" i="5"/>
  <c r="L20" i="5" s="1"/>
  <c r="M19" i="5"/>
  <c r="M20" i="5" s="1"/>
  <c r="K16" i="4"/>
  <c r="K15" i="4"/>
  <c r="K14" i="4"/>
  <c r="L14" i="4" s="1"/>
  <c r="K10" i="4"/>
  <c r="K7" i="4"/>
  <c r="K11" i="4"/>
  <c r="K5" i="4"/>
  <c r="K6" i="4"/>
  <c r="K9" i="4"/>
  <c r="K13" i="4"/>
  <c r="L13" i="4" s="1"/>
  <c r="K4" i="4"/>
  <c r="K8" i="4"/>
  <c r="K12" i="4"/>
  <c r="K3" i="4"/>
  <c r="H19" i="4"/>
  <c r="H20" i="4" s="1"/>
  <c r="F19" i="4"/>
  <c r="F20" i="4" s="1"/>
  <c r="E19" i="4"/>
  <c r="E20" i="4" s="1"/>
  <c r="C20" i="4"/>
  <c r="G19" i="4"/>
  <c r="G20" i="4" s="1"/>
  <c r="I19" i="4"/>
  <c r="I20" i="4" s="1"/>
  <c r="D19" i="4"/>
  <c r="D20" i="4" s="1"/>
  <c r="M4" i="12" l="1"/>
  <c r="M19" i="12"/>
  <c r="M20" i="12" s="1"/>
  <c r="M19" i="11"/>
  <c r="M20" i="11" s="1"/>
  <c r="L19" i="11"/>
  <c r="L20" i="11" s="1"/>
  <c r="L19" i="10"/>
  <c r="L20" i="10" s="1"/>
  <c r="M3" i="10"/>
  <c r="M19" i="10" s="1"/>
  <c r="M20" i="10" s="1"/>
  <c r="L19" i="9"/>
  <c r="L20" i="9" s="1"/>
  <c r="M3" i="9"/>
  <c r="M19" i="9" s="1"/>
  <c r="M20" i="9" s="1"/>
  <c r="M6" i="8"/>
  <c r="M19" i="8" s="1"/>
  <c r="M20" i="8" s="1"/>
  <c r="L19" i="7"/>
  <c r="L20" i="7" s="1"/>
  <c r="M3" i="7"/>
  <c r="M19" i="7" s="1"/>
  <c r="M20" i="7" s="1"/>
  <c r="L4" i="4"/>
  <c r="M4" i="4" s="1"/>
  <c r="L15" i="4"/>
  <c r="M15" i="4" s="1"/>
  <c r="L9" i="4"/>
  <c r="M9" i="4" s="1"/>
  <c r="L16" i="4"/>
  <c r="M16" i="4" s="1"/>
  <c r="L6" i="4"/>
  <c r="M6" i="4" s="1"/>
  <c r="L5" i="4"/>
  <c r="M5" i="4" s="1"/>
  <c r="L3" i="4"/>
  <c r="M3" i="4" s="1"/>
  <c r="L11" i="4"/>
  <c r="M11" i="4" s="1"/>
  <c r="L12" i="4"/>
  <c r="M12" i="4" s="1"/>
  <c r="L7" i="4"/>
  <c r="M7" i="4" s="1"/>
  <c r="L8" i="4"/>
  <c r="M8" i="4" s="1"/>
  <c r="L10" i="4"/>
  <c r="M10" i="4" s="1"/>
  <c r="M13" i="4"/>
  <c r="M14" i="4"/>
  <c r="K19" i="4"/>
  <c r="K20" i="4" s="1"/>
  <c r="J19" i="4"/>
  <c r="J20" i="4" s="1"/>
  <c r="M19" i="4" l="1"/>
  <c r="M20" i="4" s="1"/>
  <c r="P18" i="4"/>
  <c r="L19" i="4"/>
  <c r="L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Roshan Karnekar</author>
  </authors>
  <commentList>
    <comment ref="F1" authorId="0" shapeId="0" xr:uid="{71FCD38C-3E75-4F0F-973B-C5BBAEB4E429}">
      <text>
        <r>
          <rPr>
            <b/>
            <sz val="9"/>
            <color indexed="81"/>
            <rFont val="Calibri"/>
            <family val="2"/>
            <scheme val="minor"/>
          </rPr>
          <t>Roshan Karnekar:</t>
        </r>
        <r>
          <rPr>
            <sz val="9"/>
            <color indexed="81"/>
            <rFont val="Calibri"/>
            <family val="2"/>
            <scheme val="minor"/>
          </rPr>
          <t xml:space="preserve">
ALL COMMISSION PERCENTAGE IS CALCULATED ON THE PROFIT RECEIVED BY INVESTORS.
I.E 20% OF 15% PROFIT CREDITED….</t>
        </r>
      </text>
    </comment>
    <comment ref="N1" authorId="0" shapeId="0" xr:uid="{37769E12-DD10-47A9-9D5E-714A28B40E49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AFTER DEDUCTION OF 10% ADMIN CHARGES FROM REFERRAL COMMISSION</t>
        </r>
      </text>
    </comment>
    <comment ref="D2" authorId="0" shapeId="0" xr:uid="{240DFD04-98A7-4A24-8E33-0BF9968FAE8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the Flat Profit percentage without any deduction has to be credited to Investor on their respective Investment.</t>
        </r>
      </text>
    </comment>
    <comment ref="F2" authorId="0" shapeId="0" xr:uid="{4FE167B4-D9B8-42EF-AEC3-25F71B4584D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1  
COMMISSION</t>
        </r>
      </text>
    </comment>
    <comment ref="G2" authorId="0" shapeId="0" xr:uid="{7D9AF61D-B429-483D-BCD0-227A3F13593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2
COMMISSION</t>
        </r>
      </text>
    </comment>
    <comment ref="H2" authorId="0" shapeId="0" xr:uid="{62F314D0-2259-44FC-BE71-021092BC50C9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3
COMMISSION</t>
        </r>
      </text>
    </comment>
    <comment ref="I2" authorId="0" shapeId="0" xr:uid="{C9A0DEDB-285E-43EE-B57E-BA26FFC6211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4
COMMISSION</t>
        </r>
      </text>
    </comment>
    <comment ref="J2" authorId="0" shapeId="0" xr:uid="{5F7F75E2-8503-4B62-8ED8-EE200FF1A662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5
COMMISSION</t>
        </r>
      </text>
    </comment>
    <comment ref="K2" authorId="0" shapeId="0" xr:uid="{5966F79A-FDCF-44E2-91C5-16C761FCCBEB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6
COMMISSION
</t>
        </r>
      </text>
    </comment>
    <comment ref="M2" authorId="0" shapeId="0" xr:uid="{2076FE80-371B-4427-8F3A-1B3C2A8B915C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CHARGES WILL GET DEDUCTED ON EACH REFERRAL COMMISSIONS ONLY</t>
        </r>
      </text>
    </comment>
    <comment ref="A3" authorId="0" shapeId="0" xr:uid="{CFAFBB8A-DD8D-4EC8-95C7-CCBF1BADCA9F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Calibri"/>
            <family val="2"/>
            <scheme val="minor"/>
          </rPr>
          <t>Here "A" indicates  first investor</t>
        </r>
      </text>
    </comment>
    <comment ref="F3" authorId="0" shapeId="0" xr:uid="{0988F9DC-4D47-411D-8120-988969D4ED49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"B" AS "B" IS LEVEL 1  OF "A"</t>
        </r>
      </text>
    </comment>
    <comment ref="G3" authorId="0" shapeId="0" xr:uid="{DEAF413D-F943-4BD1-88F7-AB28326CA887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IS CALCULATED ON THE INVESTMENT DONE BY "C" AS "C" IS LEVEL 2  OF "A"</t>
        </r>
      </text>
    </comment>
    <comment ref="H3" authorId="0" shapeId="0" xr:uid="{A16861A5-1EE3-4969-9BCC-6DEE3B6CE8D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3  OF "A"</t>
        </r>
      </text>
    </comment>
    <comment ref="I3" authorId="0" shapeId="0" xr:uid="{D6DCE484-5C53-4214-92FF-80D9BC7AEC2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4  OF "A"</t>
        </r>
      </text>
    </comment>
    <comment ref="J3" authorId="0" shapeId="0" xr:uid="{FE9C251D-D086-4B40-8A19-379C23C98FF3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5  OF "A"</t>
        </r>
      </text>
    </comment>
    <comment ref="K3" authorId="0" shapeId="0" xr:uid="{913F8370-ECEF-4DA6-BA62-D2E0561F91E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6  OF "A"</t>
        </r>
      </text>
    </comment>
    <comment ref="A4" authorId="0" shapeId="0" xr:uid="{B00A9DC0-4962-45B4-8BBF-69C8A038CF13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Here B  Investor is the direct referral of investor "A" So this is the level 1 of "A"</t>
        </r>
      </text>
    </comment>
    <comment ref="F4" authorId="0" shapeId="0" xr:uid="{1F388469-B669-4420-B73E-B8E0309D00B1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"C" AS "C" IS LEVEL 1  OF "B"</t>
        </r>
      </text>
    </comment>
    <comment ref="G4" authorId="0" shapeId="0" xr:uid="{7F57970C-F915-4358-AA20-D596F744BFF1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2  OF "B"</t>
        </r>
      </text>
    </comment>
    <comment ref="H4" authorId="0" shapeId="0" xr:uid="{A4DC6F7D-D6A0-4F3A-9CC2-D1E68FEE87C1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3  OF "B"</t>
        </r>
      </text>
    </comment>
    <comment ref="I4" authorId="0" shapeId="0" xr:uid="{E6347416-92EC-4C5B-ACDE-F061A70932B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4  OF "B"</t>
        </r>
      </text>
    </comment>
    <comment ref="J4" authorId="0" shapeId="0" xr:uid="{D26E3FCE-D47F-46EF-B711-C402D57705B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5  OF "B"</t>
        </r>
      </text>
    </comment>
    <comment ref="K4" authorId="0" shapeId="0" xr:uid="{925F6FB7-6F79-43F2-AFDB-2DBE3C9F117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"H" AS "H" IS LEVEL 6  OF "B"</t>
        </r>
      </text>
    </comment>
    <comment ref="A5" authorId="0" shapeId="0" xr:uid="{2314851C-7C8E-478C-BB34-C693D1D80430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"C" is the direct referral of "B" and indirect referral of "A" so this Investor will be a Level 2 for "A" and Level 1 for "B"</t>
        </r>
      </text>
    </comment>
    <comment ref="F5" authorId="0" shapeId="0" xr:uid="{3B91C013-B1BA-4B19-9665-C8077ADBB87E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"D" AS "D" IS LEVEL 1  OF "C"</t>
        </r>
      </text>
    </comment>
    <comment ref="G5" authorId="0" shapeId="0" xr:uid="{95B630DA-96D7-4B09-9E21-F8FA5AB9D88B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"E" AS "E" IS LEVEL 2  OF "C"</t>
        </r>
      </text>
    </comment>
    <comment ref="H5" authorId="0" shapeId="0" xr:uid="{E44E3359-20E8-426E-8F2B-C99B4C75998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"F" AS "F" IS LEVEL 3  OF "C"</t>
        </r>
      </text>
    </comment>
    <comment ref="I5" authorId="0" shapeId="0" xr:uid="{337ED8C9-B08E-40AB-B484-F316AD2C503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"G" AS "G" IS LEVEL 4  OF "C"</t>
        </r>
      </text>
    </comment>
    <comment ref="J5" authorId="0" shapeId="0" xr:uid="{A2B995EC-3F5E-4865-AF0B-36EB4EC4DC9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"H" AS "H" IS LEVEL 5  OF "C"</t>
        </r>
      </text>
    </comment>
    <comment ref="K5" authorId="0" shapeId="0" xr:uid="{E9A9BF7F-AE1A-4171-A365-F120D3B86203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"I" AS "I" IS LEVEL 6  OF "C"</t>
        </r>
      </text>
    </comment>
    <comment ref="A6" authorId="0" shapeId="0" xr:uid="{F25BB1B9-A035-4FFB-AC1A-D69BDF5A4C5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Likewise This Investor will be on Level 3 for Investor "A" Level 2 for "B" investor and Level 1  for "C" Investor.</t>
        </r>
      </text>
    </comment>
    <comment ref="F6" authorId="0" shapeId="0" xr:uid="{7D1B7AA6-3614-4F13-9DFC-734012078421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"E" AS "E" IS LEVEL 1  OF "D"</t>
        </r>
      </text>
    </comment>
    <comment ref="F7" authorId="0" shapeId="0" xr:uid="{762B1848-944F-4EC5-8E20-E4FE49FA927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"F" AS "F" IS LEVEL 1  OF "E"</t>
        </r>
      </text>
    </comment>
    <comment ref="F8" authorId="0" shapeId="0" xr:uid="{BEE69224-7CF7-49FD-9B80-0E6D7EB293E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"G" AS "G" IS LEVEL 1  OF "F"</t>
        </r>
      </text>
    </comment>
    <comment ref="A9" authorId="0" shapeId="0" xr:uid="{E225A05F-C581-4B0B-B8BC-7B9ADD3E7321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This investor will be the last i.e level 6 for investor "A". Till this level the Investor "A" will get the referral commissions we structured. Same will be the level 5 for "B". Level 4 for "C" level 3 for "D", level 2 for "E" and level 1 for "F"</t>
        </r>
      </text>
    </comment>
    <comment ref="F9" authorId="0" shapeId="0" xr:uid="{CAA282F8-9E08-4C9B-B1F7-A2597406D29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BELOW ALL SAME
SO ON…..</t>
        </r>
      </text>
    </comment>
    <comment ref="A10" authorId="0" shapeId="0" xr:uid="{457ED19A-5DA9-4B98-B8F3-BB5BF711A23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Investor H will be the last level (Level 6) for the investor B.</t>
        </r>
      </text>
    </comment>
    <comment ref="A11" authorId="0" shapeId="0" xr:uid="{1EF94DBA-3727-4F00-B2A8-046567C3DD97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Investor I will be the last level (Level 6) for the investor C.
and further so on…...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Roshan Karnekar</author>
  </authors>
  <commentList>
    <comment ref="A1" authorId="0" shapeId="0" xr:uid="{31112515-80D0-4AD7-8C9E-73113E9BF8F7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PERCENTAGE WILL GET ADDED IN REFERRAL COMMISSION TO THE PERSON WHO ACHIEVES THIS ROYALTY TARGET..
EXAMPLE:- IF "A" ACHIEVES BRONZE LEVEL THAN THEREAFTER HE WILL RECEIVE ADDTION OF 1% ON EACH LEVEL REFERRAL COMMISSION I.E INSTEAD OF 20% HE WILL START RECEIVING 21% THEN INSTEAD OF 10% HE WILL RECEIVE 11% AND SO ON....</t>
        </r>
      </text>
    </comment>
    <comment ref="C3" authorId="0" shapeId="0" xr:uid="{C08FC583-67E7-498F-90D5-BC536A7E9690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IF THIS LEVEL IS ACHIEVED BY "A" 
THEN THE NEXT REFERRAL COMMISSION % WILL BE 
L1 - 21%, L2 - 11%, L3 - 8%, L4 - 6%, L5 - 3% AND L6 - 2%</t>
        </r>
      </text>
    </comment>
    <comment ref="C4" authorId="0" shapeId="0" xr:uid="{D488B6E6-6FA2-49F8-832C-444A30E7BF9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IF THIS LEVEL IS ALSO ACHIEVED BY "A" 
THEN THE NEXT REFERRAL COMMISSION % WILL BE 
L1 - 21.75%, L2 - 11.75%, L3 - 8.75%, L4 - 6.75%, L5 - 3.75% AND L6 - 2.75%</t>
        </r>
      </text>
    </comment>
    <comment ref="C5" authorId="0" shapeId="0" xr:uid="{1C66B931-0CEE-4F8D-8B75-EB36AFF206E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IF THIS LEVEL IS ACHIEVED BY "A" 
THEN THE NEXT REFERRAL COMMISSION % WILL BE 
L1 - 22.25%, L2 - 12.25%, L3 - 9.25%, L4 - 7.25%, L5 - 4.25% AND L6 - 3.25%</t>
        </r>
      </text>
    </comment>
    <comment ref="C6" authorId="0" shapeId="0" xr:uid="{DE060958-3343-4A38-8FBA-656BD126EE0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IF THIS LEVEL IS ACHIEVED BY "A" 
THEN THE NEXT REFERRAL COMMISSION % WILL BE 
L1 - 22.60%, L2 - 12.60%, L3 - 9.60%, L4 - 7.60%, L5 - 4.60% AND L6 - 3.60%</t>
        </r>
      </text>
    </comment>
    <comment ref="C7" authorId="0" shapeId="0" xr:uid="{CE222F2D-07CD-4B1F-A3A4-9639AA9F6E2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IF THIS LEVEL IS ACHIEVED BY "A" 
THEN THE NEXT REFERRAL COMMISSION % WILL BE 
L1 - 22.85%, L2 - 12.85%, L3 - 9.85%, L4 - 7.85%, L5 - 4.85% AND L6 - 3.85%</t>
        </r>
      </text>
    </comment>
    <comment ref="C8" authorId="0" shapeId="0" xr:uid="{F114573F-2A97-41DB-8533-C2460224E2A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IF THIS LEVEL IS ACHIEVED BY "A" 
THEN THE NEXT REFERRAL COMMISSION % WILL BE 
L1 - 23%, L2 - 13%, L3 - 10%, L4 - 8%, L5 - 5% AND L6 - 4%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Roshan Karnekar</author>
  </authors>
  <commentList>
    <comment ref="E1" authorId="0" shapeId="0" xr:uid="{9A5E7DED-2B98-4C9D-911B-CBD99A9EC538}">
      <text>
        <r>
          <rPr>
            <b/>
            <sz val="9"/>
            <color indexed="81"/>
            <rFont val="Calibri"/>
            <family val="2"/>
            <scheme val="minor"/>
          </rPr>
          <t>Roshan Karnekar:</t>
        </r>
        <r>
          <rPr>
            <sz val="9"/>
            <color indexed="81"/>
            <rFont val="Calibri"/>
            <family val="2"/>
            <scheme val="minor"/>
          </rPr>
          <t xml:space="preserve">
ALL COMMISSION PERCENTAGE IS CALCULATED ON THE PROFIT RECEIVED BY INVESTORS.
I.E 20% OF 15% PROFIT CREDITED….</t>
        </r>
      </text>
    </comment>
    <comment ref="M1" authorId="0" shapeId="0" xr:uid="{6B5E132B-917B-4D08-95F7-9939DC5E9674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AFTER DEDUCTION OF 10% ADMIN CHARGES FROM REFERRAL COMMISSION</t>
        </r>
      </text>
    </comment>
    <comment ref="D2" authorId="0" shapeId="0" xr:uid="{88F33431-3D69-4A73-AD74-12B883C8953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the Flat Profit percentage without any deduction has to be credited to Investor on their respective Investment.</t>
        </r>
      </text>
    </comment>
    <comment ref="E2" authorId="0" shapeId="0" xr:uid="{EBF34B9F-B1D2-4552-9A06-C56C7C2041E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1  
COMMISSION</t>
        </r>
      </text>
    </comment>
    <comment ref="F2" authorId="0" shapeId="0" xr:uid="{ADBDADC0-9EFC-41B3-AFE8-7446AC7ED9C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2
COMMISSION</t>
        </r>
      </text>
    </comment>
    <comment ref="G2" authorId="0" shapeId="0" xr:uid="{333E0256-4F8D-4007-BBD8-969C45E0ED06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3
COMMISSION</t>
        </r>
      </text>
    </comment>
    <comment ref="H2" authorId="0" shapeId="0" xr:uid="{C0DBD3B8-87CC-4959-AA76-1FC3E1A9124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4
COMMISSION</t>
        </r>
      </text>
    </comment>
    <comment ref="I2" authorId="0" shapeId="0" xr:uid="{15C748DA-A230-4F44-BEFB-E61FF059BCB5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5
COMMISSION</t>
        </r>
      </text>
    </comment>
    <comment ref="J2" authorId="0" shapeId="0" xr:uid="{0A3D18B8-2C1E-48F2-9568-8191B9E3D52E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6
COMMISSION
</t>
        </r>
      </text>
    </comment>
    <comment ref="L2" authorId="0" shapeId="0" xr:uid="{43D54207-D1CB-4653-9541-A9F3CD2D8461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CHARGES WILL GET DEDUCTED ON EACH REFERRAL COMMISSIONS ONLY</t>
        </r>
      </text>
    </comment>
    <comment ref="A3" authorId="0" shapeId="0" xr:uid="{BBB19BA0-6AB9-4BE8-892C-0FF5FBDED2CB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Calibri"/>
            <family val="2"/>
            <scheme val="minor"/>
          </rPr>
          <t>Here "A" indicates  first investor</t>
        </r>
      </text>
    </comment>
    <comment ref="E3" authorId="0" shapeId="0" xr:uid="{28EAD5F4-E9A2-4F69-9904-11456F3E7427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"B" AS "B" IS LEVEL 1  OF "A"</t>
        </r>
      </text>
    </comment>
    <comment ref="F3" authorId="0" shapeId="0" xr:uid="{67EEEFC0-0947-4B89-80B0-5EAA11833CD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IS CALCULATED ON THE INVESTMENT DONE BY "C" AS "C" IS LEVEL 2  OF "A"</t>
        </r>
      </text>
    </comment>
    <comment ref="G3" authorId="0" shapeId="0" xr:uid="{80D5485E-18AF-4E62-812B-B9F1D1A6DA5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3  OF "A"</t>
        </r>
      </text>
    </comment>
    <comment ref="H3" authorId="0" shapeId="0" xr:uid="{0B4EFBF1-A009-4811-B9DB-18D1E2F0056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4  OF "A"</t>
        </r>
      </text>
    </comment>
    <comment ref="I3" authorId="0" shapeId="0" xr:uid="{F79D455D-57C9-4A05-A9F1-3675A450DC9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5  OF "A"</t>
        </r>
      </text>
    </comment>
    <comment ref="J3" authorId="0" shapeId="0" xr:uid="{3E579DEA-9A63-494D-96F0-5C42E5D9F949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6  OF "A"</t>
        </r>
      </text>
    </comment>
    <comment ref="A4" authorId="0" shapeId="0" xr:uid="{00BB111C-8A97-4DA2-824D-28B927B5C71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Here B  Investor is the direct referral of investor "A" So this is the level 1 of "A"</t>
        </r>
      </text>
    </comment>
    <comment ref="E4" authorId="0" shapeId="0" xr:uid="{E0D869D0-1591-4B39-BC94-29EE25E7DD0B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"C" AS "C" IS LEVEL 1  OF "B"</t>
        </r>
      </text>
    </comment>
    <comment ref="F4" authorId="0" shapeId="0" xr:uid="{3319A193-31F6-4579-AC19-987DE991A4A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2  OF "B"</t>
        </r>
      </text>
    </comment>
    <comment ref="G4" authorId="0" shapeId="0" xr:uid="{C299E2C2-344E-4C0D-9065-5097EC1E24C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3  OF "B"</t>
        </r>
      </text>
    </comment>
    <comment ref="H4" authorId="0" shapeId="0" xr:uid="{E7E9C4D9-AE9D-4555-B3A9-D29F68A1E3D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4  OF "B"</t>
        </r>
      </text>
    </comment>
    <comment ref="I4" authorId="0" shapeId="0" xr:uid="{AC02062B-3041-4734-A2EE-FE4D5710EA8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5  OF "B"</t>
        </r>
      </text>
    </comment>
    <comment ref="J4" authorId="0" shapeId="0" xr:uid="{16F61814-9D7D-47CF-9F52-D270BDF1BAE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"H" AS "H" IS LEVEL 6  OF "B"</t>
        </r>
      </text>
    </comment>
    <comment ref="A5" authorId="0" shapeId="0" xr:uid="{8492ECE3-85E1-4EEA-980F-4A6AF2824399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"C" is the direct referral of "B" and indirect referral of "A" so this Investor will be a Level 2 for "A" and Level 1 for "B"</t>
        </r>
      </text>
    </comment>
    <comment ref="E5" authorId="0" shapeId="0" xr:uid="{993023A4-0E4A-495C-A2F5-C7FCCEC13EE2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"D" AS "D" IS LEVEL 1  OF "C"</t>
        </r>
      </text>
    </comment>
    <comment ref="F5" authorId="0" shapeId="0" xr:uid="{C57DE265-FC47-4DDE-8BFF-6D939F0FE02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"E" AS "E" IS LEVEL 2  OF "C"</t>
        </r>
      </text>
    </comment>
    <comment ref="G5" authorId="0" shapeId="0" xr:uid="{737C7D76-C51E-4811-A293-3131CB143C3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"F" AS "F" IS LEVEL 3  OF "C"</t>
        </r>
      </text>
    </comment>
    <comment ref="H5" authorId="0" shapeId="0" xr:uid="{DA24A9E8-63A0-4A3A-AA31-AE823546BFA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"G" AS "G" IS LEVEL 4  OF "C"</t>
        </r>
      </text>
    </comment>
    <comment ref="I5" authorId="0" shapeId="0" xr:uid="{B9427488-10AC-432B-9469-14C860F153F6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"H" AS "H" IS LEVEL 5  OF "C"</t>
        </r>
      </text>
    </comment>
    <comment ref="J5" authorId="0" shapeId="0" xr:uid="{8D9AC687-55AB-4BDC-9F7A-25B6EA64EEF9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"I" AS "I" IS LEVEL 6  OF "C"</t>
        </r>
      </text>
    </comment>
    <comment ref="A6" authorId="0" shapeId="0" xr:uid="{85946B25-B5E8-464C-9819-302318AA2AA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Likewise This Investor will be on Level 3 for Investor "A" Level 2 for "B" investor and Level 1  for "C" Investor.</t>
        </r>
      </text>
    </comment>
    <comment ref="E6" authorId="0" shapeId="0" xr:uid="{AF5B5FE0-1E50-4530-8089-766CE7C03C8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"E" AS "E" IS LEVEL 1  OF "D"</t>
        </r>
      </text>
    </comment>
    <comment ref="E7" authorId="0" shapeId="0" xr:uid="{8CEBCB2A-6D72-4E1D-B225-3B3B4E0683C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"F" AS "F" IS LEVEL 1  OF "E"</t>
        </r>
      </text>
    </comment>
    <comment ref="E8" authorId="0" shapeId="0" xr:uid="{A6901624-BBA4-4997-A3EC-2898C08232D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"G" AS "G" IS LEVEL 1  OF "F"</t>
        </r>
      </text>
    </comment>
    <comment ref="A9" authorId="0" shapeId="0" xr:uid="{C5963F04-06E8-41FC-B4A4-769BC4CE1305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This investor will be the last i.e level 6 for investor "A". Till this level the Investor "A" will get the referral commissions we structured. Same will be the level 5 for "B". Level 4 for "C" level 3 for "D", level 2 for "E" and level 1 for "F"</t>
        </r>
      </text>
    </comment>
    <comment ref="E9" authorId="0" shapeId="0" xr:uid="{ABD6431F-C543-4C21-B82B-244BED99C9D2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BELOW ALL SAME
SO ON…..</t>
        </r>
      </text>
    </comment>
    <comment ref="A10" authorId="0" shapeId="0" xr:uid="{D370B0ED-19E8-427A-BEE0-59AAE15E122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Investor H will be the last level (Level 6) for the investor B.</t>
        </r>
      </text>
    </comment>
    <comment ref="A11" authorId="0" shapeId="0" xr:uid="{BE4A6591-86A7-45BA-BB53-51640348F77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Investor I will be the last level (Level 6) for the investor C.
and further so on…...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Roshan Karnekar</author>
  </authors>
  <commentList>
    <comment ref="E1" authorId="0" shapeId="0" xr:uid="{150041AC-132F-4E0E-BAFE-D795461CA907}">
      <text>
        <r>
          <rPr>
            <b/>
            <sz val="9"/>
            <color indexed="81"/>
            <rFont val="Calibri"/>
            <family val="2"/>
            <scheme val="minor"/>
          </rPr>
          <t>Roshan Karnekar:</t>
        </r>
        <r>
          <rPr>
            <sz val="9"/>
            <color indexed="81"/>
            <rFont val="Calibri"/>
            <family val="2"/>
            <scheme val="minor"/>
          </rPr>
          <t xml:space="preserve">
ALL COMMISSION PERCENTAGE IS CALCULATED ON THE PROFIT RECEIVED BY INVESTORS.
I.E 20% OF 15% PROFIT CREDITED….</t>
        </r>
      </text>
    </comment>
    <comment ref="M1" authorId="0" shapeId="0" xr:uid="{B2EF7F22-4A19-48CD-B88D-9D1D2B79CD43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AFTER DEDUCTION OF 10% ADMIN CHARGES FROM REFERRAL COMMISSION</t>
        </r>
      </text>
    </comment>
    <comment ref="D2" authorId="0" shapeId="0" xr:uid="{AB8398E4-41E2-49EC-A754-A7BE7EF2769B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the Flat Profit percentage without any deduction has to be credited to Investor on their respective Investment.</t>
        </r>
      </text>
    </comment>
    <comment ref="E2" authorId="0" shapeId="0" xr:uid="{A2FDBCD2-2E5B-4903-B999-41464F965C55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1  
COMMISSION</t>
        </r>
      </text>
    </comment>
    <comment ref="F2" authorId="0" shapeId="0" xr:uid="{CF7EAFDE-CD20-4835-B881-E4E074EDEA16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2
COMMISSION</t>
        </r>
      </text>
    </comment>
    <comment ref="G2" authorId="0" shapeId="0" xr:uid="{B00602E8-8606-4F29-85E9-00EF08F61BCB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3
COMMISSION</t>
        </r>
      </text>
    </comment>
    <comment ref="H2" authorId="0" shapeId="0" xr:uid="{FC68D7EC-DB22-452E-B555-B25E2E551D77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4
COMMISSION</t>
        </r>
      </text>
    </comment>
    <comment ref="I2" authorId="0" shapeId="0" xr:uid="{980A8251-2245-422C-9C30-29AD70D4070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5
COMMISSION</t>
        </r>
      </text>
    </comment>
    <comment ref="J2" authorId="0" shapeId="0" xr:uid="{D5F1F2A4-0880-441A-9E5C-E5B5C2594993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6
COMMISSION
</t>
        </r>
      </text>
    </comment>
    <comment ref="L2" authorId="0" shapeId="0" xr:uid="{1D75A1D5-BD87-4A69-8D31-20DE20433D54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CHARGES WILL GET DEDUCTED ON EACH REFERRAL COMMISSIONS ONLY</t>
        </r>
      </text>
    </comment>
    <comment ref="A3" authorId="0" shapeId="0" xr:uid="{4C3A09FE-01DB-4E39-BD07-5806FC3C4666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Calibri"/>
            <family val="2"/>
            <scheme val="minor"/>
          </rPr>
          <t>Here "A" indicates  first investor</t>
        </r>
      </text>
    </comment>
    <comment ref="E3" authorId="0" shapeId="0" xr:uid="{2E6A2847-F8D9-4517-9041-AADC280DFC53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"B" AS "B" IS LEVEL 1  OF "A"</t>
        </r>
      </text>
    </comment>
    <comment ref="F3" authorId="0" shapeId="0" xr:uid="{774FBE6E-42AB-484F-BCA4-ED9C3AD3493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IS CALCULATED ON THE INVESTMENT DONE BY "C" AS "C" IS LEVEL 2  OF "A"</t>
        </r>
      </text>
    </comment>
    <comment ref="G3" authorId="0" shapeId="0" xr:uid="{37EF54E2-13AF-482F-8465-A2F7251E847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3  OF "A"</t>
        </r>
      </text>
    </comment>
    <comment ref="H3" authorId="0" shapeId="0" xr:uid="{EAFB8254-E932-480B-A272-5C27AE68BE34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4  OF "A"</t>
        </r>
      </text>
    </comment>
    <comment ref="I3" authorId="0" shapeId="0" xr:uid="{327E0B7F-D160-4ECF-AA31-9955D80E88EB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5  OF "A"</t>
        </r>
      </text>
    </comment>
    <comment ref="J3" authorId="0" shapeId="0" xr:uid="{34E93C36-63AD-4AFB-9351-75A6B01C12E1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6  OF "A"</t>
        </r>
      </text>
    </comment>
    <comment ref="A4" authorId="0" shapeId="0" xr:uid="{CEBAB083-7D31-4399-BC26-E725118EB94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Here B  Investor is the direct referral of investor "A" So this is the level 1 of "A"</t>
        </r>
      </text>
    </comment>
    <comment ref="E4" authorId="0" shapeId="0" xr:uid="{36D7DE94-68B6-4CD2-924D-59B6B7B618D2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"C" AS "C" IS LEVEL 1  OF "B"</t>
        </r>
      </text>
    </comment>
    <comment ref="F4" authorId="0" shapeId="0" xr:uid="{C2C21D1F-D219-4CA0-8D08-5D35B7E80961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2  OF "B"</t>
        </r>
      </text>
    </comment>
    <comment ref="G4" authorId="0" shapeId="0" xr:uid="{BA87557D-148F-4A91-9659-D8978258B2C0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3  OF "B"</t>
        </r>
      </text>
    </comment>
    <comment ref="H4" authorId="0" shapeId="0" xr:uid="{E1B791C9-6BDF-4483-88FE-9FFA24DC941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4  OF "B"</t>
        </r>
      </text>
    </comment>
    <comment ref="I4" authorId="0" shapeId="0" xr:uid="{42E3EABA-5F13-4EEC-840F-4FDEBEFD0719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5  OF "B"</t>
        </r>
      </text>
    </comment>
    <comment ref="J4" authorId="0" shapeId="0" xr:uid="{E820310C-129B-4A66-90D5-13E2F949FC7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"H" AS "H" IS LEVEL 6  OF "B"</t>
        </r>
      </text>
    </comment>
    <comment ref="A5" authorId="0" shapeId="0" xr:uid="{AE18BF2E-56C5-44B4-BFD3-AE5CD3BC1067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"C" is the direct referral of "B" and indirect referral of "A" so this Investor will be a Level 2 for "A" and Level 1 for "B"</t>
        </r>
      </text>
    </comment>
    <comment ref="E5" authorId="0" shapeId="0" xr:uid="{14989C7B-CD07-440F-872B-DFD2BE1548A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"D" AS "D" IS LEVEL 1  OF "C"</t>
        </r>
      </text>
    </comment>
    <comment ref="F5" authorId="0" shapeId="0" xr:uid="{5D5434D4-3953-4E19-AA89-685E45D1E75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"E" AS "E" IS LEVEL 2  OF "C"</t>
        </r>
      </text>
    </comment>
    <comment ref="G5" authorId="0" shapeId="0" xr:uid="{A4EAAD14-FA09-4FB7-AA35-B5641EAFCB91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"F" AS "F" IS LEVEL 3  OF "C"</t>
        </r>
      </text>
    </comment>
    <comment ref="H5" authorId="0" shapeId="0" xr:uid="{08A85744-EBF4-40A1-BC46-83706AA6E713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"G" AS "G" IS LEVEL 4  OF "C"</t>
        </r>
      </text>
    </comment>
    <comment ref="I5" authorId="0" shapeId="0" xr:uid="{D0FD61E6-365E-445F-9C4E-5CFF0B8A3F7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"H" AS "H" IS LEVEL 5  OF "C"</t>
        </r>
      </text>
    </comment>
    <comment ref="J5" authorId="0" shapeId="0" xr:uid="{CD3594F6-F359-421E-8DD1-01BC592A356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"I" AS "I" IS LEVEL 6  OF "C"</t>
        </r>
      </text>
    </comment>
    <comment ref="A6" authorId="0" shapeId="0" xr:uid="{21B52821-002A-4791-9D7D-600917C852A5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Likewise This Investor will be on Level 3 for Investor "A" Level 2 for "B" investor and Level 1  for "C" Investor.</t>
        </r>
      </text>
    </comment>
    <comment ref="E6" authorId="0" shapeId="0" xr:uid="{499239A9-6773-4462-8EDD-9C1472AB0E0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"E" AS "E" IS LEVEL 1  OF "D"</t>
        </r>
      </text>
    </comment>
    <comment ref="E7" authorId="0" shapeId="0" xr:uid="{39ECE883-C4D3-4A11-80EE-A3266CD6137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"F" AS "F" IS LEVEL 1  OF "E"</t>
        </r>
      </text>
    </comment>
    <comment ref="E8" authorId="0" shapeId="0" xr:uid="{E4913E7F-A0D0-4F69-AD52-EF6605629F31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"G" AS "G" IS LEVEL 1  OF "F"</t>
        </r>
      </text>
    </comment>
    <comment ref="A9" authorId="0" shapeId="0" xr:uid="{E92E5DAF-B9DE-44FC-94DD-EF82B2D057A1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This investor will be the last i.e level 6 for investor "A". Till this level the Investor "A" will get the referral commissions we structured. Same will be the level 5 for "B". Level 4 for "C" level 3 for "D", level 2 for "E" and level 1 for "F"</t>
        </r>
      </text>
    </comment>
    <comment ref="E9" authorId="0" shapeId="0" xr:uid="{73C11187-0DE9-4D92-B8BB-35FAEAD1453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BELOW ALL SAME
SO ON…..</t>
        </r>
      </text>
    </comment>
    <comment ref="A10" authorId="0" shapeId="0" xr:uid="{3F77CE35-A932-4F5C-8E23-72F24B3D99D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Investor H will be the last level (Level 6) for the investor B.</t>
        </r>
      </text>
    </comment>
    <comment ref="A11" authorId="0" shapeId="0" xr:uid="{9570C20D-874D-46BE-8DE1-F39C7CB62D8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Investor I will be the last level (Level 6) for the investor C.
and further so on…...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Roshan Karnekar</author>
  </authors>
  <commentList>
    <comment ref="E1" authorId="0" shapeId="0" xr:uid="{FACD39C6-9521-4BB0-B1C3-B022490F3729}">
      <text>
        <r>
          <rPr>
            <b/>
            <sz val="9"/>
            <color indexed="81"/>
            <rFont val="Calibri"/>
            <family val="2"/>
            <scheme val="minor"/>
          </rPr>
          <t>Roshan Karnekar:</t>
        </r>
        <r>
          <rPr>
            <sz val="9"/>
            <color indexed="81"/>
            <rFont val="Calibri"/>
            <family val="2"/>
            <scheme val="minor"/>
          </rPr>
          <t xml:space="preserve">
ALL COMMISSION PERCENTAGE IS CALCULATED ON THE PROFIT RECEIVED BY INVESTORS.
I.E 20% OF 15% PROFIT CREDITED….</t>
        </r>
      </text>
    </comment>
    <comment ref="M1" authorId="0" shapeId="0" xr:uid="{FB482540-43AA-4C0C-91E5-C4AD5947578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AFTER DEDUCTION OF 10% ADMIN CHARGES FROM REFERRAL COMMISSION</t>
        </r>
      </text>
    </comment>
    <comment ref="D2" authorId="0" shapeId="0" xr:uid="{81CF22C9-0429-4EDF-A67C-0F7D143F5AC0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the Flat Profit percentage without any deduction has to be credited to Investor on their respective Investment.</t>
        </r>
      </text>
    </comment>
    <comment ref="E2" authorId="0" shapeId="0" xr:uid="{17E9683E-73AE-401C-A607-F767F3848440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1  
COMMISSION</t>
        </r>
      </text>
    </comment>
    <comment ref="F2" authorId="0" shapeId="0" xr:uid="{AF508B48-B180-46D3-963D-3BA35BF93C33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2
COMMISSION</t>
        </r>
      </text>
    </comment>
    <comment ref="G2" authorId="0" shapeId="0" xr:uid="{026CB024-7CA9-4516-ACCC-C2679A31213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3
COMMISSION</t>
        </r>
      </text>
    </comment>
    <comment ref="H2" authorId="0" shapeId="0" xr:uid="{CF13DCB4-8F76-45BE-A03F-8A841AB07FF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4
COMMISSION</t>
        </r>
      </text>
    </comment>
    <comment ref="I2" authorId="0" shapeId="0" xr:uid="{2C2A1C27-D0B3-4B65-A396-96A31B272AA0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5
COMMISSION</t>
        </r>
      </text>
    </comment>
    <comment ref="J2" authorId="0" shapeId="0" xr:uid="{EAAC91F6-F6F1-4715-BDD8-0960588850F1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6
COMMISSION
</t>
        </r>
      </text>
    </comment>
    <comment ref="L2" authorId="0" shapeId="0" xr:uid="{F2EA4A96-4A23-420B-896C-4C0C8EC65C0C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CHARGES WILL GET DEDUCTED ON EACH REFERRAL COMMISSIONS ONLY</t>
        </r>
      </text>
    </comment>
    <comment ref="A3" authorId="0" shapeId="0" xr:uid="{575E58DA-BB12-41EF-B238-F070A17F7F57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Calibri"/>
            <family val="2"/>
            <scheme val="minor"/>
          </rPr>
          <t>Here "A" indicates  first investor</t>
        </r>
      </text>
    </comment>
    <comment ref="E3" authorId="0" shapeId="0" xr:uid="{CB586C8E-2453-4E2B-8305-D82F77E8457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"B" AS "B" IS LEVEL 1  OF "A"</t>
        </r>
      </text>
    </comment>
    <comment ref="F3" authorId="0" shapeId="0" xr:uid="{21453706-43DA-4515-B8C9-9B54BE47B26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IS CALCULATED ON THE INVESTMENT DONE BY "C" AS "C" IS LEVEL 2  OF "A"</t>
        </r>
      </text>
    </comment>
    <comment ref="G3" authorId="0" shapeId="0" xr:uid="{ECA7E70A-757C-4F1C-9EE1-499D52FDF2E4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3  OF "A"</t>
        </r>
      </text>
    </comment>
    <comment ref="H3" authorId="0" shapeId="0" xr:uid="{45ADC5C5-DF23-475A-8A8B-4A476438969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4  OF "A"</t>
        </r>
      </text>
    </comment>
    <comment ref="I3" authorId="0" shapeId="0" xr:uid="{DB702FAA-AC32-4250-97A8-B1D97FF8863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5  OF "A"</t>
        </r>
      </text>
    </comment>
    <comment ref="J3" authorId="0" shapeId="0" xr:uid="{2D204F86-6B09-4586-AEC6-44F4C00EACC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6  OF "A"</t>
        </r>
      </text>
    </comment>
    <comment ref="A4" authorId="0" shapeId="0" xr:uid="{77BA8E94-6CC0-479D-BD64-CF90BCA95F61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Here B  Investor is the direct referral of investor "A" So this is the level 1 of "A"</t>
        </r>
      </text>
    </comment>
    <comment ref="E4" authorId="0" shapeId="0" xr:uid="{F9634FFE-A340-4A4C-8556-DE984F1EB10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"C" AS "C" IS LEVEL 1  OF "B"</t>
        </r>
      </text>
    </comment>
    <comment ref="F4" authorId="0" shapeId="0" xr:uid="{9C70131A-F475-4A60-B288-2BE0B47C3EF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2  OF "B"</t>
        </r>
      </text>
    </comment>
    <comment ref="G4" authorId="0" shapeId="0" xr:uid="{DDFCC0F3-93F9-4C92-B542-A141A4A8312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3  OF "B"</t>
        </r>
      </text>
    </comment>
    <comment ref="H4" authorId="0" shapeId="0" xr:uid="{3F9F768B-4689-4A41-B9E1-3166E2009B7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4  OF "B"</t>
        </r>
      </text>
    </comment>
    <comment ref="I4" authorId="0" shapeId="0" xr:uid="{A93664E4-F030-452C-97ED-1BF0546BD3AF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5  OF "B"</t>
        </r>
      </text>
    </comment>
    <comment ref="J4" authorId="0" shapeId="0" xr:uid="{5938B3FF-7DD6-4310-BFA3-6C5DC493024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"H" AS "H" IS LEVEL 6  OF "B"</t>
        </r>
      </text>
    </comment>
    <comment ref="A5" authorId="0" shapeId="0" xr:uid="{DEAA561A-40FF-43B4-8B0C-BA1A8DC83AF5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"C" is the direct referral of "B" and indirect referral of "A" so this Investor will be a Level 2 for "A" and Level 1 for "B"</t>
        </r>
      </text>
    </comment>
    <comment ref="E5" authorId="0" shapeId="0" xr:uid="{683C2B50-265C-4F69-838B-9B01715DDC2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"D" AS "D" IS LEVEL 1  OF "C"</t>
        </r>
      </text>
    </comment>
    <comment ref="F5" authorId="0" shapeId="0" xr:uid="{74043DC0-1293-4C09-A70D-C281F628398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"E" AS "E" IS LEVEL 2  OF "C"</t>
        </r>
      </text>
    </comment>
    <comment ref="G5" authorId="0" shapeId="0" xr:uid="{B76E1788-C668-4B06-AB40-6065F3F0CE5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"F" AS "F" IS LEVEL 3  OF "C"</t>
        </r>
      </text>
    </comment>
    <comment ref="H5" authorId="0" shapeId="0" xr:uid="{9F5EF7F7-55CB-4923-B4D4-729C804A7474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"G" AS "G" IS LEVEL 4  OF "C"</t>
        </r>
      </text>
    </comment>
    <comment ref="I5" authorId="0" shapeId="0" xr:uid="{2F931E4E-4FD6-4B49-A2AC-394A0F35371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"H" AS "H" IS LEVEL 5  OF "C"</t>
        </r>
      </text>
    </comment>
    <comment ref="J5" authorId="0" shapeId="0" xr:uid="{EC3D5A2B-4683-450B-9358-2DD510E88D1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"I" AS "I" IS LEVEL 6  OF "C"</t>
        </r>
      </text>
    </comment>
    <comment ref="A6" authorId="0" shapeId="0" xr:uid="{85250B4B-1841-4CCE-B956-136A9F060349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Likewise This Investor will be on Level 3 for Investor "A" Level 2 for "B" investor and Level 1  for "C" Investor.</t>
        </r>
      </text>
    </comment>
    <comment ref="E6" authorId="0" shapeId="0" xr:uid="{9B9D1D20-BB8C-4A0C-BB35-7E3549A4E7F6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"E" AS "E" IS LEVEL 1  OF "D"</t>
        </r>
      </text>
    </comment>
    <comment ref="E7" authorId="0" shapeId="0" xr:uid="{6E957A9E-4E4B-4F9B-BA73-2F4332055E9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"F" AS "F" IS LEVEL 1  OF "E"</t>
        </r>
      </text>
    </comment>
    <comment ref="E8" authorId="0" shapeId="0" xr:uid="{823729B0-0DDD-411B-9F11-673B4453183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"G" AS "G" IS LEVEL 1  OF "F"</t>
        </r>
      </text>
    </comment>
    <comment ref="A9" authorId="0" shapeId="0" xr:uid="{D56C535B-897E-404C-88C3-0B3C616793D9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This investor will be the last i.e level 6 for investor "A". Till this level the Investor "A" will get the referral commissions we structured. Same will be the level 5 for "B". Level 4 for "C" level 3 for "D", level 2 for "E" and level 1 for "F"</t>
        </r>
      </text>
    </comment>
    <comment ref="E9" authorId="0" shapeId="0" xr:uid="{936590AA-A0B2-4C69-8439-D4E4C9B0174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BELOW ALL SAME
SO ON…..</t>
        </r>
      </text>
    </comment>
    <comment ref="A10" authorId="0" shapeId="0" xr:uid="{B15DF84B-296B-4962-A3B5-38FF0A80329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Investor H will be the last level (Level 6) for the investor B.</t>
        </r>
      </text>
    </comment>
    <comment ref="A11" authorId="0" shapeId="0" xr:uid="{2A902A32-2B81-4AB2-9CD1-E6A1ACF8F17B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Investor I will be the last level (Level 6) for the investor C.
and further so on…...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Roshan Karnekar</author>
  </authors>
  <commentList>
    <comment ref="E1" authorId="0" shapeId="0" xr:uid="{2DF028D4-6B93-4D0F-8744-C5D480FB5BF1}">
      <text>
        <r>
          <rPr>
            <b/>
            <sz val="9"/>
            <color indexed="81"/>
            <rFont val="Calibri"/>
            <family val="2"/>
            <scheme val="minor"/>
          </rPr>
          <t>Roshan Karnekar:</t>
        </r>
        <r>
          <rPr>
            <sz val="9"/>
            <color indexed="81"/>
            <rFont val="Calibri"/>
            <family val="2"/>
            <scheme val="minor"/>
          </rPr>
          <t xml:space="preserve">
ALL COMMISSION PERCENTAGE IS CALCULATED ON THE PROFIT RECEIVED BY INVESTORS.
I.E 20% OF 15% PROFIT CREDITED….</t>
        </r>
      </text>
    </comment>
    <comment ref="M1" authorId="0" shapeId="0" xr:uid="{FCDEA901-91AA-402B-B87D-8C8A7152EDB9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AFTER DEDUCTION OF 10% ADMIN CHARGES FROM REFERRAL COMMISSION</t>
        </r>
      </text>
    </comment>
    <comment ref="D2" authorId="0" shapeId="0" xr:uid="{DEBD8049-5896-4CC9-ADCB-F19B8C95C7D3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the Flat Profit percentage without any deduction has to be credited to Investor on their respective Investment.</t>
        </r>
      </text>
    </comment>
    <comment ref="E2" authorId="0" shapeId="0" xr:uid="{31FD5631-7996-4DDD-B6CD-365637E3B18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1  
COMMISSION</t>
        </r>
      </text>
    </comment>
    <comment ref="F2" authorId="0" shapeId="0" xr:uid="{12CBAE47-0E3D-41DC-9195-44FA1C6F8280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2
COMMISSION</t>
        </r>
      </text>
    </comment>
    <comment ref="G2" authorId="0" shapeId="0" xr:uid="{5373F6C0-69A0-41C7-82D2-8266D24F3360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3
COMMISSION</t>
        </r>
      </text>
    </comment>
    <comment ref="H2" authorId="0" shapeId="0" xr:uid="{CC184C3E-C619-4E39-9568-219E9DFACD0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4
COMMISSION</t>
        </r>
      </text>
    </comment>
    <comment ref="I2" authorId="0" shapeId="0" xr:uid="{960BA8BB-98EC-4799-8DEF-DC6EFF1424D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5
COMMISSION</t>
        </r>
      </text>
    </comment>
    <comment ref="J2" authorId="0" shapeId="0" xr:uid="{F0AFF792-A75B-440C-A87E-0D330AD244E7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6
COMMISSION
</t>
        </r>
      </text>
    </comment>
    <comment ref="L2" authorId="0" shapeId="0" xr:uid="{8C713BDF-4D19-4CE6-9B46-5F70B9D9C65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CHARGES WILL GET DEDUCTED ON EACH REFERRAL COMMISSIONS ONLY</t>
        </r>
      </text>
    </comment>
    <comment ref="A3" authorId="0" shapeId="0" xr:uid="{455AF675-997F-4647-B9D3-1B6B702F4CEB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Calibri"/>
            <family val="2"/>
            <scheme val="minor"/>
          </rPr>
          <t>Here "A" indicates  first investor</t>
        </r>
      </text>
    </comment>
    <comment ref="E3" authorId="0" shapeId="0" xr:uid="{B0DFA4A1-41A9-4ECA-97DD-48EF6F9C481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"B" AS "B" IS LEVEL 1  OF "A"</t>
        </r>
      </text>
    </comment>
    <comment ref="F3" authorId="0" shapeId="0" xr:uid="{15C152A7-7856-4153-AB8D-2042887FA35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IS CALCULATED ON THE INVESTMENT DONE BY "C" AS "C" IS LEVEL 2  OF "A"</t>
        </r>
      </text>
    </comment>
    <comment ref="G3" authorId="0" shapeId="0" xr:uid="{2405C609-5272-4DAA-AB31-A513091D4C76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3  OF "A"</t>
        </r>
      </text>
    </comment>
    <comment ref="H3" authorId="0" shapeId="0" xr:uid="{01AC05A6-0948-497B-A0A4-2E9746542320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4  OF "A"</t>
        </r>
      </text>
    </comment>
    <comment ref="I3" authorId="0" shapeId="0" xr:uid="{2822C8A7-EA5C-4480-BD35-4BC68B7AAA5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5  OF "A"</t>
        </r>
      </text>
    </comment>
    <comment ref="J3" authorId="0" shapeId="0" xr:uid="{5273BFE5-2406-4956-B750-A103561F52D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6  OF "A"</t>
        </r>
      </text>
    </comment>
    <comment ref="A4" authorId="0" shapeId="0" xr:uid="{76F4C33F-C7EB-489A-A9DA-3AC3B5AEB404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Here B  Investor is the direct referral of investor "A" So this is the level 1 of "A"</t>
        </r>
      </text>
    </comment>
    <comment ref="E4" authorId="0" shapeId="0" xr:uid="{CE8C9A14-5E8B-48BA-8430-04D391D04AA1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"C" AS "C" IS LEVEL 1  OF "B"</t>
        </r>
      </text>
    </comment>
    <comment ref="F4" authorId="0" shapeId="0" xr:uid="{314FB930-EA4A-4711-B657-2A13955C1706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2  OF "B"</t>
        </r>
      </text>
    </comment>
    <comment ref="G4" authorId="0" shapeId="0" xr:uid="{388D514C-C3F7-4235-9611-86A8BD97B6E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3  OF "B"</t>
        </r>
      </text>
    </comment>
    <comment ref="H4" authorId="0" shapeId="0" xr:uid="{E1A45745-79F0-45F2-8459-2C850ED7A1E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4  OF "B"</t>
        </r>
      </text>
    </comment>
    <comment ref="I4" authorId="0" shapeId="0" xr:uid="{0C83AB44-AEDD-4D1C-AA2C-572C06D5C61B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5  OF "B"</t>
        </r>
      </text>
    </comment>
    <comment ref="J4" authorId="0" shapeId="0" xr:uid="{6B591860-D7BB-4647-AA38-A137982ADBDF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"H" AS "H" IS LEVEL 6  OF "B"</t>
        </r>
      </text>
    </comment>
    <comment ref="A5" authorId="0" shapeId="0" xr:uid="{E73F732D-7593-4EC9-8418-726DAF818DC5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"C" is the direct referral of "B" and indirect referral of "A" so this Investor will be a Level 2 for "A" and Level 1 for "B"</t>
        </r>
      </text>
    </comment>
    <comment ref="E5" authorId="0" shapeId="0" xr:uid="{CF73A899-5424-4B11-A675-FE5F15A76F1B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"D" AS "D" IS LEVEL 1  OF "C"</t>
        </r>
      </text>
    </comment>
    <comment ref="F5" authorId="0" shapeId="0" xr:uid="{55B00D96-DCD5-4F89-9AFF-E1EF6994A5A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"E" AS "E" IS LEVEL 2  OF "C"</t>
        </r>
      </text>
    </comment>
    <comment ref="G5" authorId="0" shapeId="0" xr:uid="{C0D4EE7F-77BD-4AB1-8164-991A53733EF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"F" AS "F" IS LEVEL 3  OF "C"</t>
        </r>
      </text>
    </comment>
    <comment ref="H5" authorId="0" shapeId="0" xr:uid="{9D5C193C-FC0B-49BB-A691-719EC9D3C926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"G" AS "G" IS LEVEL 4  OF "C"</t>
        </r>
      </text>
    </comment>
    <comment ref="I5" authorId="0" shapeId="0" xr:uid="{CC17CC79-66A6-47A2-9DF7-9A5D4175E75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"H" AS "H" IS LEVEL 5  OF "C"</t>
        </r>
      </text>
    </comment>
    <comment ref="J5" authorId="0" shapeId="0" xr:uid="{B54B6603-67E0-4C17-87B9-217ABDB1310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"I" AS "I" IS LEVEL 6  OF "C"</t>
        </r>
      </text>
    </comment>
    <comment ref="A6" authorId="0" shapeId="0" xr:uid="{423CC1C9-D2B4-46AA-B4AA-967F6AB588B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Likewise This Investor will be on Level 3 for Investor "A" Level 2 for "B" investor and Level 1  for "C" Investor.</t>
        </r>
      </text>
    </comment>
    <comment ref="E6" authorId="0" shapeId="0" xr:uid="{23E375E5-8F65-4A2B-A866-944F9C22DA3E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"E" AS "E" IS LEVEL 1  OF "D"</t>
        </r>
      </text>
    </comment>
    <comment ref="E7" authorId="0" shapeId="0" xr:uid="{BD7D5C99-FDBE-4271-8C59-64D2B82A9DCB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"F" AS "F" IS LEVEL 1  OF "E"</t>
        </r>
      </text>
    </comment>
    <comment ref="E8" authorId="0" shapeId="0" xr:uid="{1B9DDA47-8EE5-4295-9F49-757E19C80F62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"G" AS "G" IS LEVEL 1  OF "F"</t>
        </r>
      </text>
    </comment>
    <comment ref="A9" authorId="0" shapeId="0" xr:uid="{FA1FF14D-8BAD-471E-9420-D84E590EA1DB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This investor will be the last i.e level 6 for investor "A". Till this level the Investor "A" will get the referral commissions we structured. Same will be the level 5 for "B". Level 4 for "C" level 3 for "D", level 2 for "E" and level 1 for "F"</t>
        </r>
      </text>
    </comment>
    <comment ref="E9" authorId="0" shapeId="0" xr:uid="{CD81B177-C41D-4E7C-8D91-819E9EFECCC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BELOW ALL SAME
SO ON…..</t>
        </r>
      </text>
    </comment>
    <comment ref="A10" authorId="0" shapeId="0" xr:uid="{EFA52C00-00F9-41E2-B873-CCF2D97105E9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Investor H will be the last level (Level 6) for the investor B.</t>
        </r>
      </text>
    </comment>
    <comment ref="A11" authorId="0" shapeId="0" xr:uid="{804BBFB6-1B9C-4832-AE48-7DE610B7F22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Investor I will be the last level (Level 6) for the investor C.
and further so on…...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Roshan Karnekar</author>
  </authors>
  <commentList>
    <comment ref="E1" authorId="0" shapeId="0" xr:uid="{DB659357-60C9-4CD5-AEE7-09460062E69D}">
      <text>
        <r>
          <rPr>
            <b/>
            <sz val="9"/>
            <color indexed="81"/>
            <rFont val="Calibri"/>
            <family val="2"/>
            <scheme val="minor"/>
          </rPr>
          <t>Roshan Karnekar:</t>
        </r>
        <r>
          <rPr>
            <sz val="9"/>
            <color indexed="81"/>
            <rFont val="Calibri"/>
            <family val="2"/>
            <scheme val="minor"/>
          </rPr>
          <t xml:space="preserve">
ALL COMMISSION PERCENTAGE IS CALCULATED ON THE PROFIT RECEIVED BY INVESTORS.
I.E 20% OF 15% PROFIT CREDITED….</t>
        </r>
      </text>
    </comment>
    <comment ref="M1" authorId="0" shapeId="0" xr:uid="{B01576CE-764A-41A5-ABEE-19014593920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AFTER DEDUCTION OF 10% ADMIN CHARGES FROM REFERRAL COMMISSION</t>
        </r>
      </text>
    </comment>
    <comment ref="D2" authorId="0" shapeId="0" xr:uid="{AB2DA1F9-CF0D-4D92-A849-E03DE664D76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the Flat Profit percentage without any deduction has to be credited to Investor on their respective Investment.</t>
        </r>
      </text>
    </comment>
    <comment ref="E2" authorId="0" shapeId="0" xr:uid="{A0D07B98-003F-465E-AF16-AB7A3A03DC2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1  
COMMISSION</t>
        </r>
      </text>
    </comment>
    <comment ref="F2" authorId="0" shapeId="0" xr:uid="{530EF47E-ECA9-4300-8465-4FB586243F21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2
COMMISSION</t>
        </r>
      </text>
    </comment>
    <comment ref="G2" authorId="0" shapeId="0" xr:uid="{9DCEE829-8820-4149-A275-2C4967A5BF66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3
COMMISSION</t>
        </r>
      </text>
    </comment>
    <comment ref="H2" authorId="0" shapeId="0" xr:uid="{5685B7EE-4027-45FC-A626-945A68AE3583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4
COMMISSION</t>
        </r>
      </text>
    </comment>
    <comment ref="I2" authorId="0" shapeId="0" xr:uid="{8A1B5DD4-607C-4FF8-BDAD-6A9B9D1B813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5
COMMISSION</t>
        </r>
      </text>
    </comment>
    <comment ref="J2" authorId="0" shapeId="0" xr:uid="{965846CF-7986-4415-8F8D-D64D157F304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6
COMMISSION
</t>
        </r>
      </text>
    </comment>
    <comment ref="L2" authorId="0" shapeId="0" xr:uid="{59744A39-DFB6-4811-8D00-13B070DD2BB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CHARGES WILL GET DEDUCTED ON EACH REFERRAL COMMISSIONS ONLY</t>
        </r>
      </text>
    </comment>
    <comment ref="A3" authorId="0" shapeId="0" xr:uid="{2A874A36-EF82-417C-A161-999536552924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Calibri"/>
            <family val="2"/>
            <scheme val="minor"/>
          </rPr>
          <t>Here "A" indicates  first investor</t>
        </r>
      </text>
    </comment>
    <comment ref="E3" authorId="0" shapeId="0" xr:uid="{6CE09049-9ABF-4738-9AF5-AC80A07DE3A0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"B" AS "B" IS LEVEL 1  OF "A"</t>
        </r>
      </text>
    </comment>
    <comment ref="F3" authorId="0" shapeId="0" xr:uid="{125E5932-F2B4-44CA-8014-521BA221FA0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IS CALCULATED ON THE INVESTMENT DONE BY "C" AS "C" IS LEVEL 2  OF "A"</t>
        </r>
      </text>
    </comment>
    <comment ref="G3" authorId="0" shapeId="0" xr:uid="{B33B3E59-1225-4FCA-83C9-BE563F325483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3  OF "A"</t>
        </r>
      </text>
    </comment>
    <comment ref="H3" authorId="0" shapeId="0" xr:uid="{CF199DA5-DE44-42C2-9704-4C2313C68DB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4  OF "A"</t>
        </r>
      </text>
    </comment>
    <comment ref="I3" authorId="0" shapeId="0" xr:uid="{54244F19-4FF6-4BEF-9E74-93C73650919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5  OF "A"</t>
        </r>
      </text>
    </comment>
    <comment ref="J3" authorId="0" shapeId="0" xr:uid="{15C6B9F0-8A33-4678-9830-7015ADFC2D29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6  OF "A"</t>
        </r>
      </text>
    </comment>
    <comment ref="A4" authorId="0" shapeId="0" xr:uid="{9A4FB80E-388C-4BA4-8066-C0F80E77BC37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Here B  Investor is the direct referral of investor "A" So this is the level 1 of "A"</t>
        </r>
      </text>
    </comment>
    <comment ref="E4" authorId="0" shapeId="0" xr:uid="{42C0D6D6-0B5A-4AD7-9862-10D272F3331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"C" AS "C" IS LEVEL 1  OF "B"</t>
        </r>
      </text>
    </comment>
    <comment ref="F4" authorId="0" shapeId="0" xr:uid="{9F40D20D-6BF5-4E4E-B2CD-4F61F1D2CE9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2  OF "B"</t>
        </r>
      </text>
    </comment>
    <comment ref="G4" authorId="0" shapeId="0" xr:uid="{BD2C549A-A6BB-4E81-8220-FFA5559B9F86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3  OF "B"</t>
        </r>
      </text>
    </comment>
    <comment ref="H4" authorId="0" shapeId="0" xr:uid="{B84E1FE9-26C3-473E-82CF-585D304B1CD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4  OF "B"</t>
        </r>
      </text>
    </comment>
    <comment ref="I4" authorId="0" shapeId="0" xr:uid="{8687F900-0565-4F86-AD36-C6BA4577A844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5  OF "B"</t>
        </r>
      </text>
    </comment>
    <comment ref="J4" authorId="0" shapeId="0" xr:uid="{94BC94E0-61AB-419A-A082-4DF3D6150D8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"H" AS "H" IS LEVEL 6  OF "B"</t>
        </r>
      </text>
    </comment>
    <comment ref="A5" authorId="0" shapeId="0" xr:uid="{E0C0EE8F-3D6B-4858-B318-5C460455A49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"C" is the direct referral of "B" and indirect referral of "A" so this Investor will be a Level 2 for "A" and Level 1 for "B"</t>
        </r>
      </text>
    </comment>
    <comment ref="E5" authorId="0" shapeId="0" xr:uid="{C01FD3CC-ED04-42D9-823D-6DF725DED50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"D" AS "D" IS LEVEL 1  OF "C"</t>
        </r>
      </text>
    </comment>
    <comment ref="F5" authorId="0" shapeId="0" xr:uid="{D578A70C-DF33-419A-8672-BB1AFBDB069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"E" AS "E" IS LEVEL 2  OF "C"</t>
        </r>
      </text>
    </comment>
    <comment ref="G5" authorId="0" shapeId="0" xr:uid="{CCF19CD3-8C13-4470-B177-482103F89848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"F" AS "F" IS LEVEL 3  OF "C"</t>
        </r>
      </text>
    </comment>
    <comment ref="H5" authorId="0" shapeId="0" xr:uid="{BD5BB045-83B1-44EF-B16B-9EDEF2791B43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"G" AS "G" IS LEVEL 4  OF "C"</t>
        </r>
      </text>
    </comment>
    <comment ref="I5" authorId="0" shapeId="0" xr:uid="{03757A97-A70A-467A-9891-E5CEAE09A7C4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"H" AS "H" IS LEVEL 5  OF "C"</t>
        </r>
      </text>
    </comment>
    <comment ref="J5" authorId="0" shapeId="0" xr:uid="{E148246A-23F7-45CE-8535-14DD1F1D15B9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"I" AS "I" IS LEVEL 6  OF "C"</t>
        </r>
      </text>
    </comment>
    <comment ref="A6" authorId="0" shapeId="0" xr:uid="{83C5F4F6-16DB-487A-A43E-A078E8BE23E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Likewise This Investor will be on Level 3 for Investor "A" Level 2 for "B" investor and Level 1  for "C" Investor.</t>
        </r>
      </text>
    </comment>
    <comment ref="E6" authorId="0" shapeId="0" xr:uid="{8A05771F-A193-49E0-89FA-8C933671A549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"E" AS "E" IS LEVEL 1  OF "D"</t>
        </r>
      </text>
    </comment>
    <comment ref="E7" authorId="0" shapeId="0" xr:uid="{9432BD84-9BD8-4504-9E2B-DA0EA57C668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"F" AS "F" IS LEVEL 1  OF "E"</t>
        </r>
      </text>
    </comment>
    <comment ref="E8" authorId="0" shapeId="0" xr:uid="{C48DC36D-D37A-4592-B2CD-1CC2AC634C7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"G" AS "G" IS LEVEL 1  OF "F"</t>
        </r>
      </text>
    </comment>
    <comment ref="A9" authorId="0" shapeId="0" xr:uid="{16A3EE00-43F2-4438-B51A-E6AE0EB3647C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This investor will be the last i.e level 6 for investor "A". Till this level the Investor "A" will get the referral commissions we structured. Same will be the level 5 for "B". Level 4 for "C" level 3 for "D", level 2 for "E" and level 1 for "F"</t>
        </r>
      </text>
    </comment>
    <comment ref="E9" authorId="0" shapeId="0" xr:uid="{F05C92CA-7326-411F-8CEB-38CDCFA56775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BELOW ALL SAME
SO ON…..</t>
        </r>
      </text>
    </comment>
    <comment ref="A10" authorId="0" shapeId="0" xr:uid="{8AA5174E-47C2-412A-98EB-294C773532A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Investor H will be the last level (Level 6) for the investor B.</t>
        </r>
      </text>
    </comment>
    <comment ref="A11" authorId="0" shapeId="0" xr:uid="{52AE3731-3C62-483E-9BAA-95331DF5B692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Investor I will be the last level (Level 6) for the investor C.
and further so on…...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Roshan Karnekar</author>
  </authors>
  <commentList>
    <comment ref="E1" authorId="0" shapeId="0" xr:uid="{8C20AD0E-8887-4417-A6A2-54408B16255B}">
      <text>
        <r>
          <rPr>
            <b/>
            <sz val="9"/>
            <color indexed="81"/>
            <rFont val="Calibri"/>
            <family val="2"/>
            <scheme val="minor"/>
          </rPr>
          <t>Roshan Karnekar:</t>
        </r>
        <r>
          <rPr>
            <sz val="9"/>
            <color indexed="81"/>
            <rFont val="Calibri"/>
            <family val="2"/>
            <scheme val="minor"/>
          </rPr>
          <t xml:space="preserve">
ALL COMMISSION PERCENTAGE IS CALCULATED ON THE PROFIT RECEIVED BY INVESTORS.
I.E 20% OF 15% PROFIT CREDITED….</t>
        </r>
      </text>
    </comment>
    <comment ref="M1" authorId="0" shapeId="0" xr:uid="{B0BA3987-ED73-436E-800F-F1A8C96B730F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AFTER DEDUCTION OF 10% ADMIN CHARGES FROM REFERRAL COMMISSION</t>
        </r>
      </text>
    </comment>
    <comment ref="D2" authorId="0" shapeId="0" xr:uid="{CE01DD75-5EFD-435C-AD0A-C85CD3A5F05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the Flat Profit percentage without any deduction has to be credited to Investor on their respective Investment.</t>
        </r>
      </text>
    </comment>
    <comment ref="E2" authorId="0" shapeId="0" xr:uid="{B3AE5246-B11F-4FA8-B1B3-901B274BD82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1  
COMMISSION</t>
        </r>
      </text>
    </comment>
    <comment ref="F2" authorId="0" shapeId="0" xr:uid="{B58F07C6-11B1-4989-BCBC-5A084ED7F59D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2
COMMISSION</t>
        </r>
      </text>
    </comment>
    <comment ref="G2" authorId="0" shapeId="0" xr:uid="{B29FCCA1-AD52-4C01-80E3-556045C4BC45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3
COMMISSION</t>
        </r>
      </text>
    </comment>
    <comment ref="H2" authorId="0" shapeId="0" xr:uid="{CF83E3A7-1788-40A7-B01C-3DF71010D729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4
COMMISSION</t>
        </r>
      </text>
    </comment>
    <comment ref="I2" authorId="0" shapeId="0" xr:uid="{430F0BB3-67C9-4013-99E8-86183637ADC0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5
COMMISSION</t>
        </r>
      </text>
    </comment>
    <comment ref="J2" authorId="0" shapeId="0" xr:uid="{C55DAE5E-B66A-46B7-B075-9B63CDE7162B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LEVEL 6
COMMISSION
</t>
        </r>
      </text>
    </comment>
    <comment ref="L2" authorId="0" shapeId="0" xr:uid="{A17BD271-4E1C-4532-8419-F5C46709484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CHARGES WILL GET DEDUCTED ON EACH REFERRAL COMMISSIONS ONLY</t>
        </r>
      </text>
    </comment>
    <comment ref="A3" authorId="0" shapeId="0" xr:uid="{C0FAC48D-436F-4FB3-BA51-48206D2CF66B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Calibri"/>
            <family val="2"/>
            <scheme val="minor"/>
          </rPr>
          <t>Here "A" indicates  first investor</t>
        </r>
      </text>
    </comment>
    <comment ref="E3" authorId="0" shapeId="0" xr:uid="{2314C74A-F751-4D15-99ED-EEC6C50E29E5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"B" AS "B" IS LEVEL 1  OF "A"</t>
        </r>
      </text>
    </comment>
    <comment ref="F3" authorId="0" shapeId="0" xr:uid="{C9042473-616A-4492-A5A3-F039EFFF9FDC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IS CALCULATED ON THE INVESTMENT DONE BY "C" AS "C" IS LEVEL 2  OF "A"</t>
        </r>
      </text>
    </comment>
    <comment ref="G3" authorId="0" shapeId="0" xr:uid="{676640E2-D7D1-47EB-B747-55CB67143D25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3  OF "A"</t>
        </r>
      </text>
    </comment>
    <comment ref="H3" authorId="0" shapeId="0" xr:uid="{AA7859D9-62C3-4BAB-B4A3-6EA8770CB9F7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4  OF "A"</t>
        </r>
      </text>
    </comment>
    <comment ref="I3" authorId="0" shapeId="0" xr:uid="{41ED1F7E-1FD9-4C99-AC37-68C2E392C6FB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5  OF "A"</t>
        </r>
      </text>
    </comment>
    <comment ref="J3" authorId="0" shapeId="0" xr:uid="{545CA756-DE60-438A-9133-5CA97F702C1E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6  OF "A"</t>
        </r>
      </text>
    </comment>
    <comment ref="A4" authorId="0" shapeId="0" xr:uid="{5D9341A7-39D2-41BC-9691-43D6ED600CB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Here B  Investor is the direct referral of investor "A" So this is the level 1 of "A"</t>
        </r>
      </text>
    </comment>
    <comment ref="E4" authorId="0" shapeId="0" xr:uid="{1B8C6658-7421-458A-9868-1BB0B2A55711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"C" AS "C" IS LEVEL 1  OF "B"</t>
        </r>
      </text>
    </comment>
    <comment ref="F4" authorId="0" shapeId="0" xr:uid="{0D5546A9-ECEA-4928-B478-D1080F9C833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"D" AS "D" IS LEVEL 2  OF "B"</t>
        </r>
      </text>
    </comment>
    <comment ref="G4" authorId="0" shapeId="0" xr:uid="{A208C31A-A1BA-45D0-A595-4A604CE85901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"E" AS "E" IS LEVEL 3  OF "B"</t>
        </r>
      </text>
    </comment>
    <comment ref="H4" authorId="0" shapeId="0" xr:uid="{90007C48-8C12-4215-A40D-6B47629991E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"F" AS "F" IS LEVEL 4  OF "B"</t>
        </r>
      </text>
    </comment>
    <comment ref="I4" authorId="0" shapeId="0" xr:uid="{5B9D92F9-81E0-4117-8A43-4BFC98DEAAF0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"G" AS "G" IS LEVEL 5  OF "B"</t>
        </r>
      </text>
    </comment>
    <comment ref="J4" authorId="0" shapeId="0" xr:uid="{EBCCA132-3A49-44C7-9CE0-E28916FEFDDD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IS CALCULATED ON THE INVESTMENT DONE BY "H" AS "H" IS LEVEL 6  OF "B"</t>
        </r>
      </text>
    </comment>
    <comment ref="A5" authorId="0" shapeId="0" xr:uid="{29515985-45B2-4346-93F2-9711563476D6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"C" is the direct referral of "B" and indirect referral of "A" so this Investor will be a Level 2 for "A" and Level 1 for "B"</t>
        </r>
      </text>
    </comment>
    <comment ref="E5" authorId="0" shapeId="0" xr:uid="{97E77C19-52E9-44D3-8D38-171AB1184A66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"D" AS "D" IS LEVEL 1  OF "C"</t>
        </r>
      </text>
    </comment>
    <comment ref="F5" authorId="0" shapeId="0" xr:uid="{AA6890D8-72A4-4461-9EBF-7C5F84277253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"E" AS "E" IS LEVEL 2  OF "C"</t>
        </r>
      </text>
    </comment>
    <comment ref="G5" authorId="0" shapeId="0" xr:uid="{C2D6FDE0-625F-4BC8-9B99-96B6BC4B3FF0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"F" AS "F" IS LEVEL 3  OF "C"</t>
        </r>
      </text>
    </comment>
    <comment ref="H5" authorId="0" shapeId="0" xr:uid="{64386331-32F3-4BA0-AFCB-CA45CAA1CF94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"G" AS "G" IS LEVEL 4  OF "C"</t>
        </r>
      </text>
    </comment>
    <comment ref="I5" authorId="0" shapeId="0" xr:uid="{CD56FF3D-E346-4F20-A8C0-FB613BF0F4DC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"H" AS "H" IS LEVEL 5  OF "C"</t>
        </r>
      </text>
    </comment>
    <comment ref="J5" authorId="0" shapeId="0" xr:uid="{EE8B8FD8-9AE6-4648-A20C-1A23E565EE42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THIS COMMISSION IS CALCULATED ON THE INVESTMENT DONE BY "I" AS "I" IS LEVEL 6  OF "C"</t>
        </r>
      </text>
    </comment>
    <comment ref="A6" authorId="0" shapeId="0" xr:uid="{BCB45671-70D6-45ED-8ACB-A577283026CA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Likewise This Investor will be on Level 3 for Investor "A" Level 2 for "B" investor and Level 1  for "C" Investor.</t>
        </r>
      </text>
    </comment>
    <comment ref="E6" authorId="0" shapeId="0" xr:uid="{FBF18C82-76CA-45D7-AF95-A2E6562AC442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"E" AS "E" IS LEVEL 1  OF "D"</t>
        </r>
      </text>
    </comment>
    <comment ref="E7" authorId="0" shapeId="0" xr:uid="{17D37703-0E35-4E17-94DE-3A397DE61D56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"F" AS "F" IS LEVEL 1  OF "E"</t>
        </r>
      </text>
    </comment>
    <comment ref="E8" authorId="0" shapeId="0" xr:uid="{F1BE23B7-2495-4BCF-8E43-AB21A78CB20E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THIS COMMISSION IS CALCULATED ON THE INVESTMENT DONE BY "G" AS "G" IS LEVEL 1  OF "F"</t>
        </r>
      </text>
    </comment>
    <comment ref="A9" authorId="0" shapeId="0" xr:uid="{1EE3D388-BB22-42F8-92FA-8D6366BE4F45}">
      <text>
        <r>
          <rPr>
            <b/>
            <sz val="10"/>
            <color indexed="81"/>
            <rFont val="Tahoma"/>
            <family val="2"/>
          </rPr>
          <t>Roshan Karnekar:</t>
        </r>
        <r>
          <rPr>
            <sz val="10"/>
            <color indexed="81"/>
            <rFont val="Tahoma"/>
            <family val="2"/>
          </rPr>
          <t xml:space="preserve">
This investor will be the last i.e level 6 for investor "A". Till this level the Investor "A" will get the referral commissions we structured. Same will be the level 5 for "B". Level 4 for "C" level 3 for "D", level 2 for "E" and level 1 for "F"</t>
        </r>
      </text>
    </comment>
    <comment ref="E9" authorId="0" shapeId="0" xr:uid="{3CE76B0F-9CD2-4399-BB81-E206CA58B388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BELOW ALL SAME
SO ON…..</t>
        </r>
      </text>
    </comment>
    <comment ref="A10" authorId="0" shapeId="0" xr:uid="{78DE4DEE-B90D-4A7B-B77D-7184EB49157A}">
      <text>
        <r>
          <rPr>
            <b/>
            <sz val="9"/>
            <color indexed="81"/>
            <rFont val="Tahoma"/>
          </rPr>
          <t>Roshan Karnekar:</t>
        </r>
        <r>
          <rPr>
            <sz val="9"/>
            <color indexed="81"/>
            <rFont val="Tahoma"/>
          </rPr>
          <t xml:space="preserve">
Investor H will be the last level (Level 6) for the investor B.</t>
        </r>
      </text>
    </comment>
    <comment ref="A11" authorId="0" shapeId="0" xr:uid="{C8582D7B-1313-437A-BAAF-A25BA02A98CF}">
      <text>
        <r>
          <rPr>
            <b/>
            <sz val="9"/>
            <color indexed="81"/>
            <rFont val="Tahoma"/>
            <family val="2"/>
          </rPr>
          <t>Roshan Karnekar:</t>
        </r>
        <r>
          <rPr>
            <sz val="9"/>
            <color indexed="81"/>
            <rFont val="Tahoma"/>
            <family val="2"/>
          </rPr>
          <t xml:space="preserve">
Investor I will be the last level (Level 6) for the investor C.
and further so on…...</t>
        </r>
      </text>
    </comment>
  </commentList>
</comments>
</file>

<file path=xl/sharedStrings.xml><?xml version="1.0" encoding="utf-8"?>
<sst xmlns="http://schemas.openxmlformats.org/spreadsheetml/2006/main" count="382" uniqueCount="122">
  <si>
    <t>L1</t>
  </si>
  <si>
    <t>L2</t>
  </si>
  <si>
    <t>L3</t>
  </si>
  <si>
    <t>L4</t>
  </si>
  <si>
    <t>L5</t>
  </si>
  <si>
    <t>L6</t>
  </si>
  <si>
    <t>ADMIN CHARGES</t>
  </si>
  <si>
    <t>TOTAL</t>
  </si>
  <si>
    <t>PROFIT</t>
  </si>
  <si>
    <t>TOTAL PROFIT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</si>
  <si>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</si>
  <si>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</si>
  <si>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</si>
  <si>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</si>
  <si>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</si>
  <si>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</si>
  <si>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</si>
  <si>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</si>
  <si>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</si>
  <si>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SILVER</t>
  </si>
  <si>
    <t>GOLD</t>
  </si>
  <si>
    <t>1 CRORE</t>
  </si>
  <si>
    <t>PLATINUM</t>
  </si>
  <si>
    <t>5 CRORE</t>
  </si>
  <si>
    <t>DIAMOND</t>
  </si>
  <si>
    <t>25 CRORE</t>
  </si>
  <si>
    <t>AMBASSADOR</t>
  </si>
  <si>
    <t>TOTAL RETURNS</t>
  </si>
  <si>
    <t>BRONZE</t>
  </si>
  <si>
    <t>100 CRORE</t>
  </si>
  <si>
    <t>YEARLY GIFTS</t>
  </si>
  <si>
    <t>OFFICE EXPENSE</t>
  </si>
  <si>
    <t>MARKETING EXPENSE</t>
  </si>
  <si>
    <t>Flexible</t>
  </si>
  <si>
    <t>STATIC</t>
  </si>
  <si>
    <t>REFERAL LEVEL COMMISSION</t>
  </si>
  <si>
    <t>COMPANY EXPANSION</t>
  </si>
  <si>
    <t>MILIND PATIL</t>
  </si>
  <si>
    <t>ROSHAN KARNEKAR</t>
  </si>
  <si>
    <t>INVESTMENT (12 Months Agreement)</t>
  </si>
  <si>
    <t>10 CRORE</t>
  </si>
  <si>
    <t>50 CRORE</t>
  </si>
  <si>
    <t>AFFILIATE ROYALTY STRUCTURE</t>
  </si>
  <si>
    <t>COMMISSION</t>
  </si>
  <si>
    <t>PAID COMMISSION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</si>
  <si>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</si>
  <si>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</si>
  <si>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</si>
  <si>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</si>
  <si>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</si>
  <si>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</si>
  <si>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</si>
  <si>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</si>
  <si>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</si>
  <si>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</si>
  <si>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</si>
  <si>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</si>
  <si>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</si>
  <si>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</si>
  <si>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</si>
  <si>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</si>
  <si>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Level 1</t>
  </si>
  <si>
    <t>Level 2</t>
  </si>
  <si>
    <t>Level 5</t>
  </si>
  <si>
    <t>Level 3</t>
  </si>
  <si>
    <t>Level 8</t>
  </si>
  <si>
    <t>Level 7</t>
  </si>
  <si>
    <t>Level 6</t>
  </si>
  <si>
    <t>Level 4</t>
  </si>
  <si>
    <t>Level 9</t>
  </si>
  <si>
    <t>Level 10</t>
  </si>
  <si>
    <t>Level 11</t>
  </si>
  <si>
    <t>Level 12</t>
  </si>
  <si>
    <t>Level 13</t>
  </si>
  <si>
    <t>Level 14</t>
  </si>
  <si>
    <t>Level 15</t>
  </si>
  <si>
    <t>Levels</t>
  </si>
  <si>
    <t>Requirements in APP during registration</t>
  </si>
  <si>
    <t>Name:-</t>
  </si>
  <si>
    <t>Middle Name:-</t>
  </si>
  <si>
    <t>Last Name:-</t>
  </si>
  <si>
    <t xml:space="preserve">Contact No:- </t>
  </si>
  <si>
    <t>Email Id:-</t>
  </si>
  <si>
    <t>Address as per Adhaar:-</t>
  </si>
  <si>
    <t>Bank detail:-</t>
  </si>
  <si>
    <t>Acc No:-</t>
  </si>
  <si>
    <t>Bank:-</t>
  </si>
  <si>
    <t>IFSC Code:-</t>
  </si>
  <si>
    <t>Full Name:-</t>
  </si>
  <si>
    <t>Relation with Applicant:-</t>
  </si>
  <si>
    <t>Nominee Bank Details:-</t>
  </si>
  <si>
    <t>Nominee Details Above 18 Years:-</t>
  </si>
  <si>
    <t>Referral Code:- (Mandatory)</t>
  </si>
  <si>
    <t>Email Verification Code:-</t>
  </si>
  <si>
    <t>Contact No verification Code:-</t>
  </si>
  <si>
    <t>Captcha</t>
  </si>
  <si>
    <t>Register</t>
  </si>
  <si>
    <t>Requirements Once member register</t>
  </si>
  <si>
    <t xml:space="preserve">Username:- </t>
  </si>
  <si>
    <t>Color</t>
  </si>
  <si>
    <t>Red :- Before Investment</t>
  </si>
  <si>
    <t>Green:- Once Investment done and verified by backend</t>
  </si>
  <si>
    <t>Username:-</t>
  </si>
  <si>
    <t>Password:-</t>
  </si>
  <si>
    <t>(Alpha,Numeric,Symbol, Max lenth - 6 Character)</t>
  </si>
  <si>
    <t>Total Affiliate Amount:-</t>
  </si>
  <si>
    <t>Invested Amount:-</t>
  </si>
  <si>
    <t>Each referred member name</t>
  </si>
  <si>
    <t>Each referred member Amount</t>
  </si>
  <si>
    <t>Each and Every referred Member name and amount upto Level 6</t>
  </si>
  <si>
    <t>Once achieved Affiliate Royalty structure that should be seen infront of that member name and badge</t>
  </si>
  <si>
    <t>Till member don’t invest countdown should be visible to that member</t>
  </si>
  <si>
    <t>same countdown should be visible to the member who broke the agreement and withdrawn the amount.</t>
  </si>
  <si>
    <t>Total referral commission Payout must be visible to that member after deduction of 10% admin charges.</t>
  </si>
  <si>
    <t>How many payouts are paid should be visible to that member</t>
  </si>
  <si>
    <t>Once user is activated means the id is green then immediately payout date should be visible to every member. (1st payout :- 45days &amp; next the same date in 30days interval)</t>
  </si>
  <si>
    <t>BRONZE LEVEL COMMISSION</t>
  </si>
  <si>
    <t>SILVER LEVEL COMMISSION</t>
  </si>
  <si>
    <t>GOLD LEVEL COMMISSION</t>
  </si>
  <si>
    <t>PLATINUM LEVEL COMMISSION</t>
  </si>
  <si>
    <t>DIAMOND LEVEL COMMISSION</t>
  </si>
  <si>
    <t>AMBASSADOR LEVEL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</si>
</sst>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₹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Calibri"/>
      <family val="2"/>
      <scheme val="minor"/>
    </font>
    <font>
      <sz val="10"/>
      <color indexed="8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0" fontId="2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B5E8-11DD-4C02-83C5-2F1393048D8A}">
  <dimension ref="A1:P20"/>
  <sheetViews>
    <sheetView tabSelected="1" zoomScale="80" zoomScaleNormal="80" workbookViewId="0">
      <selection activeCell="D24" sqref="D24"/>
    </sheetView>
  </sheetViews>
  <sheetFormatPr defaultColWidth="8.85546875" defaultRowHeight="15" x14ac:dyDescent="0.25"/>
  <cols>
    <col min="1" max="1" width="8.85546875" style="1"/>
    <col min="2" max="2" width="20.85546875" style="1" bestFit="1" customWidth="1"/>
    <col min="3" max="3" width="12.5703125" style="1" bestFit="1" customWidth="1"/>
    <col min="4" max="6" width="11.42578125" style="1" bestFit="1" customWidth="1"/>
    <col min="7" max="9" width="9.85546875" style="1" bestFit="1" customWidth="1"/>
    <col min="10" max="10" width="16.42578125" style="1" customWidth="1"/>
    <col min="11" max="11" width="18.140625" style="1" customWidth="1"/>
    <col min="12" max="12" width="22.7109375" style="1" bestFit="1" customWidth="1"/>
    <col min="13" max="13" width="18.5703125" style="1" customWidth="1"/>
    <col min="14" max="14" width="27.140625" style="1" bestFit="1" customWidth="1"/>
    <col min="15" max="15" width="12.5703125" style="1" customWidth="1"/>
    <col min="16" max="16" width="8.42578125" style="1" customWidth="1"/>
    <col min="17" max="16384" width="8.85546875" style="1"/>
  </cols>
  <sheetData>
    <row r="1" spans="1:16" ht="21" customHeight="1" thickBot="1" x14ac:dyDescent="0.3">
      <c r="A1" s="30" t="s">
        <v>39</v>
      </c>
      <c r="B1" s="32"/>
      <c r="C1" s="2" t="s">
        <v>8</v>
      </c>
      <c r="D1" s="31" t="s">
        <v>35</v>
      </c>
      <c r="E1" s="31"/>
      <c r="F1" s="31"/>
      <c r="G1" s="31"/>
      <c r="H1" s="31"/>
      <c r="I1" s="31"/>
      <c r="J1" s="26" t="s">
        <v>9</v>
      </c>
      <c r="K1" s="26" t="s">
        <v>43</v>
      </c>
      <c r="L1" s="2" t="s">
        <v>6</v>
      </c>
      <c r="M1" s="26" t="s">
        <v>44</v>
      </c>
      <c r="N1" s="33" t="s">
        <v>42</v>
      </c>
      <c r="O1" s="34"/>
      <c r="P1" s="35"/>
    </row>
    <row r="2" spans="1:16" ht="21" customHeight="1" thickBot="1" x14ac:dyDescent="0.3">
      <c r="A2" s="28"/>
      <c r="B2" s="29"/>
      <c r="C2" s="15">
        <v>0.15</v>
      </c>
      <c r="D2" s="15">
        <v>0.2</v>
      </c>
      <c r="E2" s="15">
        <v>0.1</v>
      </c>
      <c r="F2" s="15">
        <v>7.0000000000000007E-2</v>
      </c>
      <c r="G2" s="15">
        <v>0.05</v>
      </c>
      <c r="H2" s="15">
        <v>0.02</v>
      </c>
      <c r="I2" s="15">
        <v>0.01</v>
      </c>
      <c r="J2" s="27"/>
      <c r="K2" s="27"/>
      <c r="L2" s="15">
        <v>0.1</v>
      </c>
      <c r="M2" s="27"/>
      <c r="N2" s="36"/>
      <c r="O2" s="37"/>
      <c r="P2" s="38"/>
    </row>
    <row r="3" spans="1:16" ht="19.149999999999999" customHeight="1" thickBot="1" x14ac:dyDescent="0.3">
      <c r="A3" s="3" t="s">
        <v>45</v>
      </c>
      <c r="B3" s="9">
        <v>51111</v>
      </c>
      <c r="C3" s="11">
        <f>B3*C2</f>
        <v>7666.65</v>
      </c>
      <c r="D3" s="11">
        <f>C4*D2</f>
        <v>31800</v>
      </c>
      <c r="E3" s="11">
        <f>C5*E2</f>
        <v>40500</v>
      </c>
      <c r="F3" s="11">
        <f>C6*F2</f>
        <v>55650.000000000007</v>
      </c>
      <c r="G3" s="11">
        <f>C7*G2</f>
        <v>82500</v>
      </c>
      <c r="H3" s="11">
        <f>C8*H2</f>
        <v>75000</v>
      </c>
      <c r="I3" s="11">
        <f>C9*I2</f>
        <v>165000</v>
      </c>
      <c r="J3" s="11">
        <f t="shared" ref="J3:J18" si="0">C3</f>
        <v>7666.65</v>
      </c>
      <c r="K3" s="11">
        <f t="shared" ref="K3:K18" si="1">SUM(D3:I3)</f>
        <v>450450</v>
      </c>
      <c r="L3" s="11">
        <f>(K3*L2)</f>
        <v>45045</v>
      </c>
      <c r="M3" s="11">
        <f t="shared" ref="M3:M18" si="2">K3-L3</f>
        <v>405405</v>
      </c>
      <c r="N3" s="5" t="s">
        <v>28</v>
      </c>
      <c r="O3" s="11" t="s">
        <v>21</v>
      </c>
      <c r="P3" s="7">
        <v>0.01</v>
      </c>
    </row>
    <row r="4" spans="1:16" ht="19.149999999999999" customHeight="1" thickBot="1" x14ac:dyDescent="0.3">
      <c r="A4" s="2" t="s">
        <v>0</v>
      </c>
      <c r="B4" s="9">
        <v>1060000</v>
      </c>
      <c r="C4" s="11">
        <f>B4*C2</f>
        <v>159000</v>
      </c>
      <c r="D4" s="11">
        <f>C5*D2</f>
        <v>81000</v>
      </c>
      <c r="E4" s="11">
        <f>C6*E2</f>
        <v>79500</v>
      </c>
      <c r="F4" s="11">
        <f>C7*F2</f>
        <v>115500.00000000001</v>
      </c>
      <c r="G4" s="11">
        <f>C8*G2</f>
        <v>187500</v>
      </c>
      <c r="H4" s="11">
        <f>C9*H2</f>
        <v>330000</v>
      </c>
      <c r="I4" s="11">
        <f>C10*I2</f>
        <v>45000</v>
      </c>
      <c r="J4" s="11">
        <f t="shared" si="0"/>
        <v>159000</v>
      </c>
      <c r="K4" s="11">
        <f t="shared" si="1"/>
        <v>838500</v>
      </c>
      <c r="L4" s="11">
        <f>(K4*L2)</f>
        <v>83850</v>
      </c>
      <c r="M4" s="11">
        <f t="shared" si="2"/>
        <v>754650</v>
      </c>
      <c r="N4" s="5" t="s">
        <v>19</v>
      </c>
      <c r="O4" s="5" t="s">
        <v>23</v>
      </c>
      <c r="P4" s="7">
        <v>7.4999999999999997E-3</v>
      </c>
    </row>
    <row r="5" spans="1:16" ht="19.149999999999999" customHeight="1" thickBot="1" x14ac:dyDescent="0.3">
      <c r="A5" s="2" t="s">
        <v>1</v>
      </c>
      <c r="B5" s="9">
        <v>2700000</v>
      </c>
      <c r="C5" s="11">
        <f>B5*C2</f>
        <v>405000</v>
      </c>
      <c r="D5" s="11">
        <f>C6*D2</f>
        <v>159000</v>
      </c>
      <c r="E5" s="11">
        <f>C7*E2</f>
        <v>165000</v>
      </c>
      <c r="F5" s="11">
        <f>C8*F2</f>
        <v>262500</v>
      </c>
      <c r="G5" s="11">
        <f>C9*G2</f>
        <v>825000</v>
      </c>
      <c r="H5" s="11">
        <f>C10*H2</f>
        <v>90000</v>
      </c>
      <c r="I5" s="11">
        <f>C11*I2</f>
        <v>12000</v>
      </c>
      <c r="J5" s="11">
        <f t="shared" si="0"/>
        <v>405000</v>
      </c>
      <c r="K5" s="11">
        <f t="shared" si="1"/>
        <v>1513500</v>
      </c>
      <c r="L5" s="11">
        <f>(K5*L2)</f>
        <v>151350</v>
      </c>
      <c r="M5" s="11">
        <f t="shared" si="2"/>
        <v>1362150</v>
      </c>
      <c r="N5" s="5" t="s">
        <v>20</v>
      </c>
      <c r="O5" s="5" t="s">
        <v>40</v>
      </c>
      <c r="P5" s="7">
        <v>5.0000000000000001E-3</v>
      </c>
    </row>
    <row r="6" spans="1:16" ht="19.149999999999999" customHeight="1" thickBot="1" x14ac:dyDescent="0.3">
      <c r="A6" s="2" t="s">
        <v>2</v>
      </c>
      <c r="B6" s="9">
        <v>5300000</v>
      </c>
      <c r="C6" s="11">
        <f>B6*C2</f>
        <v>795000</v>
      </c>
      <c r="D6" s="11">
        <f>C7*D2</f>
        <v>330000</v>
      </c>
      <c r="E6" s="11">
        <f>C8*E2</f>
        <v>375000</v>
      </c>
      <c r="F6" s="11">
        <f>C9*F2</f>
        <v>1155000</v>
      </c>
      <c r="G6" s="11">
        <f>C10*G2</f>
        <v>225000</v>
      </c>
      <c r="H6" s="11">
        <f>C11*H2</f>
        <v>24000</v>
      </c>
      <c r="I6" s="11">
        <f>C12*I2</f>
        <v>11250</v>
      </c>
      <c r="J6" s="11">
        <f t="shared" si="0"/>
        <v>795000</v>
      </c>
      <c r="K6" s="11">
        <f t="shared" si="1"/>
        <v>2120250</v>
      </c>
      <c r="L6" s="11">
        <f>(K6*L2)</f>
        <v>212025</v>
      </c>
      <c r="M6" s="11">
        <f t="shared" si="2"/>
        <v>1908225</v>
      </c>
      <c r="N6" s="5" t="s">
        <v>22</v>
      </c>
      <c r="O6" s="5" t="s">
        <v>25</v>
      </c>
      <c r="P6" s="7">
        <v>3.5000000000000001E-3</v>
      </c>
    </row>
    <row r="7" spans="1:16" ht="19.149999999999999" customHeight="1" thickBot="1" x14ac:dyDescent="0.3">
      <c r="A7" s="2" t="s">
        <v>3</v>
      </c>
      <c r="B7" s="9">
        <v>11000000</v>
      </c>
      <c r="C7" s="11">
        <f>B7*C2</f>
        <v>1650000</v>
      </c>
      <c r="D7" s="11">
        <f>C8*D2</f>
        <v>750000</v>
      </c>
      <c r="E7" s="11">
        <f>C9*E2</f>
        <v>1650000</v>
      </c>
      <c r="F7" s="11">
        <f>C10*F2</f>
        <v>315000.00000000006</v>
      </c>
      <c r="G7" s="11">
        <f>C11*G2</f>
        <v>60000</v>
      </c>
      <c r="H7" s="11">
        <f>C12*H2</f>
        <v>22500</v>
      </c>
      <c r="I7" s="11">
        <f>C13*I2</f>
        <v>33750</v>
      </c>
      <c r="J7" s="11">
        <f t="shared" si="0"/>
        <v>1650000</v>
      </c>
      <c r="K7" s="11">
        <f t="shared" si="1"/>
        <v>2831250</v>
      </c>
      <c r="L7" s="11">
        <f>(K7*L2)</f>
        <v>283125</v>
      </c>
      <c r="M7" s="11">
        <f t="shared" si="2"/>
        <v>2548125</v>
      </c>
      <c r="N7" s="5" t="s">
        <v>24</v>
      </c>
      <c r="O7" s="5" t="s">
        <v>41</v>
      </c>
      <c r="P7" s="7">
        <v>2.5000000000000001E-3</v>
      </c>
    </row>
    <row r="8" spans="1:16" ht="19.149999999999999" customHeight="1" thickBot="1" x14ac:dyDescent="0.3">
      <c r="A8" s="2" t="s">
        <v>4</v>
      </c>
      <c r="B8" s="9">
        <v>25000000</v>
      </c>
      <c r="C8" s="11">
        <f>B8*C2</f>
        <v>3750000</v>
      </c>
      <c r="D8" s="11">
        <f>C9*D2</f>
        <v>3300000</v>
      </c>
      <c r="E8" s="11">
        <f>C10*E2</f>
        <v>450000</v>
      </c>
      <c r="F8" s="11">
        <f>C11*F2</f>
        <v>84000.000000000015</v>
      </c>
      <c r="G8" s="11">
        <f>C12*G2</f>
        <v>56250</v>
      </c>
      <c r="H8" s="11">
        <f>C13*H2</f>
        <v>67500</v>
      </c>
      <c r="I8" s="11">
        <f>C14*I2</f>
        <v>900000</v>
      </c>
      <c r="J8" s="11">
        <f t="shared" si="0"/>
        <v>3750000</v>
      </c>
      <c r="K8" s="11">
        <f t="shared" si="1"/>
        <v>4857750</v>
      </c>
      <c r="L8" s="11">
        <f>(K8*L2)</f>
        <v>485775</v>
      </c>
      <c r="M8" s="11">
        <f t="shared" si="2"/>
        <v>4371975</v>
      </c>
      <c r="N8" s="5" t="s">
        <v>26</v>
      </c>
      <c r="O8" s="5" t="s">
        <v>29</v>
      </c>
      <c r="P8" s="7">
        <v>1.5E-3</v>
      </c>
    </row>
    <row r="9" spans="1:16" ht="19.149999999999999" customHeight="1" thickBot="1" x14ac:dyDescent="0.3">
      <c r="A9" s="2" t="s">
        <v>5</v>
      </c>
      <c r="B9" s="9">
        <v>110000000</v>
      </c>
      <c r="C9" s="11">
        <f>B9*C2</f>
        <v>16500000</v>
      </c>
      <c r="D9" s="11">
        <f>C10*D2</f>
        <v>900000</v>
      </c>
      <c r="E9" s="11">
        <f>C11*E2</f>
        <v>120000</v>
      </c>
      <c r="F9" s="11">
        <f>C12*F2</f>
        <v>78750.000000000015</v>
      </c>
      <c r="G9" s="11">
        <f>C13*G2</f>
        <v>168750</v>
      </c>
      <c r="H9" s="11">
        <f>C14*H2</f>
        <v>1800000</v>
      </c>
      <c r="I9" s="11">
        <f>C15*I2</f>
        <v>225000</v>
      </c>
      <c r="J9" s="11">
        <f t="shared" si="0"/>
        <v>16500000</v>
      </c>
      <c r="K9" s="11">
        <f t="shared" si="1"/>
        <v>3292500</v>
      </c>
      <c r="L9" s="11">
        <f>(K9*L2)</f>
        <v>329250</v>
      </c>
      <c r="M9" s="11">
        <f t="shared" si="2"/>
        <v>2963250</v>
      </c>
      <c r="N9" s="13" t="s">
        <v>7</v>
      </c>
      <c r="O9" s="5"/>
      <c r="P9" s="14">
        <f>SUM(P3:P8)</f>
        <v>3.0000000000000002E-2</v>
      </c>
    </row>
    <row r="10" spans="1:16" ht="19.149999999999999" customHeight="1" thickBot="1" x14ac:dyDescent="0.3">
      <c r="A10" s="2" t="s">
        <v>10</v>
      </c>
      <c r="B10" s="9">
        <v>30000000</v>
      </c>
      <c r="C10" s="11">
        <f>B10*C2</f>
        <v>4500000</v>
      </c>
      <c r="D10" s="11">
        <f>C11*D2</f>
        <v>240000</v>
      </c>
      <c r="E10" s="11">
        <f>C12*E2</f>
        <v>112500</v>
      </c>
      <c r="F10" s="11">
        <f>C13*F2</f>
        <v>236250.00000000003</v>
      </c>
      <c r="G10" s="11">
        <f>C14*G2</f>
        <v>4500000</v>
      </c>
      <c r="H10" s="11">
        <f>C15*H2</f>
        <v>450000</v>
      </c>
      <c r="I10" s="11">
        <f>C16*I2</f>
        <v>79500</v>
      </c>
      <c r="J10" s="11">
        <f t="shared" si="0"/>
        <v>4500000</v>
      </c>
      <c r="K10" s="11">
        <f t="shared" si="1"/>
        <v>5618250</v>
      </c>
      <c r="L10" s="11">
        <f>(K10*L2)</f>
        <v>561825</v>
      </c>
      <c r="M10" s="11">
        <f t="shared" si="2"/>
        <v>5056425</v>
      </c>
    </row>
    <row r="11" spans="1:16" ht="19.149999999999999" customHeight="1" thickBot="1" x14ac:dyDescent="0.3">
      <c r="A11" s="2" t="s">
        <v>11</v>
      </c>
      <c r="B11" s="9">
        <v>8000000</v>
      </c>
      <c r="C11" s="11">
        <f>B11*C2</f>
        <v>1200000</v>
      </c>
      <c r="D11" s="11">
        <f>C12*D2</f>
        <v>225000</v>
      </c>
      <c r="E11" s="11">
        <f>C13*E2</f>
        <v>337500</v>
      </c>
      <c r="F11" s="11">
        <f>C14*F2</f>
        <v>6300000.0000000009</v>
      </c>
      <c r="G11" s="11">
        <f>C15*G2</f>
        <v>1125000</v>
      </c>
      <c r="H11" s="11">
        <f>C16*H2</f>
        <v>159000</v>
      </c>
      <c r="I11" s="11">
        <f>C17*I2</f>
        <v>112500</v>
      </c>
      <c r="J11" s="11">
        <f t="shared" si="0"/>
        <v>1200000</v>
      </c>
      <c r="K11" s="11">
        <f t="shared" si="1"/>
        <v>8259000.0000000009</v>
      </c>
      <c r="L11" s="11">
        <f>(K11*L2)</f>
        <v>825900.00000000012</v>
      </c>
      <c r="M11" s="11">
        <f t="shared" si="2"/>
        <v>7433100.0000000009</v>
      </c>
      <c r="N11" s="5" t="s">
        <v>27</v>
      </c>
      <c r="O11" s="5" t="s">
        <v>34</v>
      </c>
      <c r="P11" s="6">
        <v>0.24</v>
      </c>
    </row>
    <row r="12" spans="1:16" ht="19.149999999999999" customHeight="1" thickBot="1" x14ac:dyDescent="0.3">
      <c r="A12" s="2" t="s">
        <v>12</v>
      </c>
      <c r="B12" s="9">
        <v>7500000</v>
      </c>
      <c r="C12" s="11">
        <f>B12*C2</f>
        <v>1125000</v>
      </c>
      <c r="D12" s="11">
        <f>C13*D2</f>
        <v>675000</v>
      </c>
      <c r="E12" s="11">
        <f>C14*E2</f>
        <v>9000000</v>
      </c>
      <c r="F12" s="11">
        <f>C15*F2</f>
        <v>1575000.0000000002</v>
      </c>
      <c r="G12" s="11">
        <f>C16*G2</f>
        <v>397500</v>
      </c>
      <c r="H12" s="11">
        <f>C17*H2</f>
        <v>225000</v>
      </c>
      <c r="I12" s="11">
        <f>C18*I2</f>
        <v>15000</v>
      </c>
      <c r="J12" s="11">
        <f t="shared" si="0"/>
        <v>1125000</v>
      </c>
      <c r="K12" s="11">
        <f t="shared" si="1"/>
        <v>11887500</v>
      </c>
      <c r="L12" s="11">
        <f>(K12*L2)</f>
        <v>1188750</v>
      </c>
      <c r="M12" s="11">
        <f t="shared" si="2"/>
        <v>10698750</v>
      </c>
      <c r="N12" s="5" t="s">
        <v>30</v>
      </c>
      <c r="O12" s="5" t="s">
        <v>33</v>
      </c>
      <c r="P12" s="6">
        <v>0.03</v>
      </c>
    </row>
    <row r="13" spans="1:16" ht="19.149999999999999" customHeight="1" thickBot="1" x14ac:dyDescent="0.3">
      <c r="A13" s="2" t="s">
        <v>13</v>
      </c>
      <c r="B13" s="9">
        <v>22500000</v>
      </c>
      <c r="C13" s="11">
        <f>B13*C2</f>
        <v>3375000</v>
      </c>
      <c r="D13" s="11">
        <f>C14*D2</f>
        <v>18000000</v>
      </c>
      <c r="E13" s="11">
        <f>C15*E2</f>
        <v>2250000</v>
      </c>
      <c r="F13" s="11">
        <f>C16*F2</f>
        <v>556500</v>
      </c>
      <c r="G13" s="11">
        <f>C17*G2</f>
        <v>562500</v>
      </c>
      <c r="H13" s="11">
        <f>C18*H2</f>
        <v>30000</v>
      </c>
      <c r="I13" s="11"/>
      <c r="J13" s="11">
        <f t="shared" si="0"/>
        <v>3375000</v>
      </c>
      <c r="K13" s="11">
        <f t="shared" si="1"/>
        <v>21399000</v>
      </c>
      <c r="L13" s="11">
        <f>(K13*L2)</f>
        <v>2139900</v>
      </c>
      <c r="M13" s="11">
        <f t="shared" si="2"/>
        <v>19259100</v>
      </c>
      <c r="N13" s="5" t="s">
        <v>31</v>
      </c>
      <c r="O13" s="5" t="s">
        <v>33</v>
      </c>
      <c r="P13" s="6">
        <v>0.03</v>
      </c>
    </row>
    <row r="14" spans="1:16" ht="19.149999999999999" customHeight="1" thickBot="1" x14ac:dyDescent="0.3">
      <c r="A14" s="2" t="s">
        <v>14</v>
      </c>
      <c r="B14" s="9">
        <v>600000000</v>
      </c>
      <c r="C14" s="11">
        <f>B14*C2</f>
        <v>90000000</v>
      </c>
      <c r="D14" s="11">
        <f>C15*D2</f>
        <v>4500000</v>
      </c>
      <c r="E14" s="11">
        <f>C16*E2</f>
        <v>795000</v>
      </c>
      <c r="F14" s="11">
        <f>C17*F2</f>
        <v>787500.00000000012</v>
      </c>
      <c r="G14" s="11">
        <f>C18*G2</f>
        <v>75000</v>
      </c>
      <c r="H14" s="11"/>
      <c r="I14" s="11"/>
      <c r="J14" s="11">
        <f t="shared" si="0"/>
        <v>90000000</v>
      </c>
      <c r="K14" s="11">
        <f t="shared" si="1"/>
        <v>6157500</v>
      </c>
      <c r="L14" s="11">
        <f>(K14*L2)</f>
        <v>615750</v>
      </c>
      <c r="M14" s="11">
        <f t="shared" si="2"/>
        <v>5541750</v>
      </c>
      <c r="N14" s="17" t="s">
        <v>32</v>
      </c>
      <c r="O14" s="5" t="s">
        <v>34</v>
      </c>
      <c r="P14" s="18">
        <v>0.1</v>
      </c>
    </row>
    <row r="15" spans="1:16" ht="19.149999999999999" customHeight="1" thickBot="1" x14ac:dyDescent="0.3">
      <c r="A15" s="2" t="s">
        <v>15</v>
      </c>
      <c r="B15" s="9">
        <v>150000000</v>
      </c>
      <c r="C15" s="11">
        <f>B15*C2</f>
        <v>22500000</v>
      </c>
      <c r="D15" s="11">
        <f>C16*D2</f>
        <v>1590000</v>
      </c>
      <c r="E15" s="11">
        <f>C17*E2</f>
        <v>1125000</v>
      </c>
      <c r="F15" s="11">
        <f>C18*F2</f>
        <v>105000.00000000001</v>
      </c>
      <c r="G15" s="11"/>
      <c r="H15" s="11"/>
      <c r="I15" s="11"/>
      <c r="J15" s="11">
        <f t="shared" si="0"/>
        <v>22500000</v>
      </c>
      <c r="K15" s="11">
        <f t="shared" si="1"/>
        <v>2820000</v>
      </c>
      <c r="L15" s="11">
        <f>(K15*L2)</f>
        <v>282000</v>
      </c>
      <c r="M15" s="16">
        <f t="shared" si="2"/>
        <v>2538000</v>
      </c>
      <c r="N15" s="5" t="s">
        <v>36</v>
      </c>
      <c r="O15" s="5" t="s">
        <v>34</v>
      </c>
      <c r="P15" s="6">
        <v>0.1</v>
      </c>
    </row>
    <row r="16" spans="1:16" ht="19.149999999999999" customHeight="1" thickBot="1" x14ac:dyDescent="0.3">
      <c r="A16" s="2" t="s">
        <v>16</v>
      </c>
      <c r="B16" s="9">
        <v>53000000</v>
      </c>
      <c r="C16" s="11">
        <f>B16*C2</f>
        <v>7950000</v>
      </c>
      <c r="D16" s="11">
        <f>C17*D2</f>
        <v>2250000</v>
      </c>
      <c r="E16" s="11">
        <f>C18*E2</f>
        <v>150000</v>
      </c>
      <c r="F16" s="11"/>
      <c r="G16" s="11"/>
      <c r="H16" s="11"/>
      <c r="I16" s="11"/>
      <c r="J16" s="11">
        <f t="shared" si="0"/>
        <v>7950000</v>
      </c>
      <c r="K16" s="11">
        <f t="shared" si="1"/>
        <v>2400000</v>
      </c>
      <c r="L16" s="11">
        <f>(K16*L2)</f>
        <v>240000</v>
      </c>
      <c r="M16" s="11">
        <f t="shared" si="2"/>
        <v>2160000</v>
      </c>
      <c r="N16" s="5" t="s">
        <v>37</v>
      </c>
      <c r="O16" s="22"/>
      <c r="P16" s="6">
        <v>0.1</v>
      </c>
    </row>
    <row r="17" spans="1:16" ht="19.149999999999999" customHeight="1" thickBot="1" x14ac:dyDescent="0.3">
      <c r="A17" s="2" t="s">
        <v>17</v>
      </c>
      <c r="B17" s="9">
        <v>75000000</v>
      </c>
      <c r="C17" s="11">
        <f>B17*C2</f>
        <v>11250000</v>
      </c>
      <c r="D17" s="11">
        <f>C18*D2</f>
        <v>300000</v>
      </c>
      <c r="E17" s="11"/>
      <c r="F17" s="11"/>
      <c r="G17" s="11"/>
      <c r="H17" s="11"/>
      <c r="I17" s="11"/>
      <c r="J17" s="11">
        <f t="shared" si="0"/>
        <v>11250000</v>
      </c>
      <c r="K17" s="11">
        <f t="shared" si="1"/>
        <v>300000</v>
      </c>
      <c r="L17" s="11">
        <f>(K17*L2)</f>
        <v>30000</v>
      </c>
      <c r="M17" s="11">
        <f t="shared" si="2"/>
        <v>270000</v>
      </c>
      <c r="N17" s="5" t="s">
        <v>38</v>
      </c>
      <c r="O17" s="22"/>
      <c r="P17" s="6">
        <v>0.1</v>
      </c>
    </row>
    <row r="18" spans="1:16" ht="19.149999999999999" customHeight="1" thickBot="1" x14ac:dyDescent="0.3">
      <c r="A18" s="2" t="s">
        <v>18</v>
      </c>
      <c r="B18" s="9">
        <v>10000000</v>
      </c>
      <c r="C18" s="11">
        <f>B18*C2</f>
        <v>1500000</v>
      </c>
      <c r="D18" s="11"/>
      <c r="E18" s="11"/>
      <c r="F18" s="11"/>
      <c r="G18" s="11"/>
      <c r="H18" s="11"/>
      <c r="I18" s="11"/>
      <c r="J18" s="11">
        <f t="shared" si="0"/>
        <v>1500000</v>
      </c>
      <c r="K18" s="11">
        <f t="shared" si="1"/>
        <v>0</v>
      </c>
      <c r="L18" s="11">
        <f>(K18*L2)</f>
        <v>0</v>
      </c>
      <c r="M18" s="11">
        <f t="shared" si="2"/>
        <v>0</v>
      </c>
      <c r="N18" s="19" t="s">
        <v>7</v>
      </c>
      <c r="O18" s="20"/>
      <c r="P18" s="21">
        <f>SUM(P11:P17)</f>
        <v>0.7</v>
      </c>
    </row>
    <row r="19" spans="1:16" ht="19.149999999999999" customHeight="1" thickBot="1" x14ac:dyDescent="0.3">
      <c r="A19" s="2" t="s">
        <v>7</v>
      </c>
      <c r="B19" s="10">
        <f t="shared" ref="B19:M19" si="3">SUM(B3:B18)</f>
        <v>1111111111</v>
      </c>
      <c r="C19" s="11">
        <f t="shared" si="3"/>
        <v>166666666.65000001</v>
      </c>
      <c r="D19" s="11">
        <f t="shared" si="3"/>
        <v>33331800</v>
      </c>
      <c r="E19" s="11">
        <f t="shared" si="3"/>
        <v>16650000</v>
      </c>
      <c r="F19" s="11">
        <f t="shared" si="3"/>
        <v>11626650</v>
      </c>
      <c r="G19" s="11">
        <f t="shared" si="3"/>
        <v>8265000</v>
      </c>
      <c r="H19" s="11">
        <f t="shared" si="3"/>
        <v>3273000</v>
      </c>
      <c r="I19" s="11">
        <f t="shared" si="3"/>
        <v>1599000</v>
      </c>
      <c r="J19" s="12">
        <f t="shared" si="3"/>
        <v>166666666.65000001</v>
      </c>
      <c r="K19" s="12">
        <f t="shared" si="3"/>
        <v>74745450</v>
      </c>
      <c r="L19" s="12">
        <f t="shared" si="3"/>
        <v>7474545</v>
      </c>
      <c r="M19" s="12">
        <f t="shared" si="3"/>
        <v>67270905</v>
      </c>
      <c r="N19" s="5"/>
      <c r="O19" s="23"/>
      <c r="P19" s="5"/>
    </row>
    <row r="20" spans="1:16" ht="19.149999999999999" customHeight="1" thickBot="1" x14ac:dyDescent="0.3">
      <c r="A20" s="5"/>
      <c r="B20" s="5"/>
      <c r="C20" s="6">
        <f>C19/B19</f>
        <v>0.15</v>
      </c>
      <c r="D20" s="4">
        <f>D19/C19</f>
        <v>0.19999080001999908</v>
      </c>
      <c r="E20" s="4">
        <f>E19/C19</f>
        <v>9.9900000009989998E-2</v>
      </c>
      <c r="F20" s="4">
        <f>F19/C19</f>
        <v>6.9759900006975989E-2</v>
      </c>
      <c r="G20" s="4">
        <f>G19/C19</f>
        <v>4.9590000004959001E-2</v>
      </c>
      <c r="H20" s="4">
        <f>H19/C19</f>
        <v>1.96380000019638E-2</v>
      </c>
      <c r="I20" s="4">
        <f>I19/C19</f>
        <v>9.5940000009593993E-3</v>
      </c>
      <c r="J20" s="8">
        <f>J19/B19</f>
        <v>0.15</v>
      </c>
      <c r="K20" s="8">
        <f>K19/B19</f>
        <v>6.7270905006727097E-2</v>
      </c>
      <c r="L20" s="8">
        <f>L19/B19</f>
        <v>6.7270905006727088E-3</v>
      </c>
      <c r="M20" s="8">
        <f>M19/B19</f>
        <v>6.054381450605438E-2</v>
      </c>
      <c r="N20" s="11"/>
      <c r="O20" s="23"/>
      <c r="P20" s="5"/>
    </row>
  </sheetData>
  <mergeCells count="6">
    <mergeCell ref="D1:I1"/>
    <mergeCell ref="A1:B2"/>
    <mergeCell ref="J1:J2"/>
    <mergeCell ref="K1:K2"/>
    <mergeCell ref="N1:P2"/>
    <mergeCell ref="M1:M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1AD9-42EA-4EB7-A088-88C612512F8D}">
  <dimension ref="A1:N20"/>
  <sheetViews>
    <sheetView zoomScale="90" zoomScaleNormal="90" workbookViewId="0">
      <selection activeCell="I10" sqref="I10"/>
    </sheetView>
  </sheetViews>
  <sheetFormatPr defaultRowHeight="15" x14ac:dyDescent="0.25"/>
  <cols>
    <col min="1" max="1" width="9.140625" style="1"/>
    <col min="2" max="2" width="12.7109375" style="1" customWidth="1"/>
    <col min="3" max="3" width="26.42578125" style="1" customWidth="1"/>
    <col min="4" max="4" width="19" style="1" customWidth="1"/>
    <col min="5" max="5" width="9.140625" style="1"/>
    <col min="6" max="8" width="11.42578125" style="1" bestFit="1" customWidth="1"/>
    <col min="9" max="11" width="9.85546875" style="1" bestFit="1" customWidth="1"/>
    <col min="12" max="12" width="18" style="1" bestFit="1" customWidth="1"/>
    <col min="13" max="13" width="22.28515625" style="1" bestFit="1" customWidth="1"/>
    <col min="14" max="14" width="25" style="1" bestFit="1" customWidth="1"/>
    <col min="15" max="16384" width="9.140625" style="1"/>
  </cols>
  <sheetData>
    <row r="1" spans="1:14" ht="20.25" customHeight="1" thickBot="1" x14ac:dyDescent="0.3">
      <c r="A1" s="39" t="s">
        <v>39</v>
      </c>
      <c r="B1" s="39"/>
      <c r="C1" s="39"/>
      <c r="D1" s="2" t="s">
        <v>8</v>
      </c>
      <c r="F1" s="31" t="s">
        <v>35</v>
      </c>
      <c r="G1" s="31"/>
      <c r="H1" s="31"/>
      <c r="I1" s="31"/>
      <c r="J1" s="31"/>
      <c r="K1" s="31"/>
      <c r="L1" s="26" t="s">
        <v>43</v>
      </c>
      <c r="M1" s="2" t="s">
        <v>6</v>
      </c>
      <c r="N1" s="26" t="s">
        <v>44</v>
      </c>
    </row>
    <row r="2" spans="1:14" ht="20.25" thickBot="1" x14ac:dyDescent="0.3">
      <c r="A2" s="39"/>
      <c r="B2" s="39"/>
      <c r="C2" s="39"/>
      <c r="D2" s="15">
        <v>0.15</v>
      </c>
      <c r="F2" s="15">
        <v>0.2</v>
      </c>
      <c r="G2" s="15">
        <v>0.1</v>
      </c>
      <c r="H2" s="15">
        <v>7.0000000000000007E-2</v>
      </c>
      <c r="I2" s="15">
        <v>0.05</v>
      </c>
      <c r="J2" s="15">
        <v>0.02</v>
      </c>
      <c r="K2" s="15">
        <v>0.01</v>
      </c>
      <c r="L2" s="27"/>
      <c r="M2" s="15">
        <v>0.1</v>
      </c>
      <c r="N2" s="27"/>
    </row>
    <row r="3" spans="1:14" ht="18" customHeight="1" thickBot="1" x14ac:dyDescent="0.3">
      <c r="A3" s="2" t="s">
        <v>45</v>
      </c>
      <c r="B3" s="5" t="s">
        <v>76</v>
      </c>
      <c r="C3" s="9">
        <v>51111</v>
      </c>
      <c r="D3" s="11">
        <f>C3*D2</f>
        <v>7666.65</v>
      </c>
      <c r="F3" s="11">
        <f>D4*F2</f>
        <v>31800</v>
      </c>
      <c r="G3" s="11">
        <f>D5*G2</f>
        <v>40500</v>
      </c>
      <c r="H3" s="11">
        <f>D6*H2</f>
        <v>55650.000000000007</v>
      </c>
      <c r="I3" s="11">
        <f>D7*I2</f>
        <v>82500</v>
      </c>
      <c r="J3" s="11">
        <f>D8*J2</f>
        <v>75000</v>
      </c>
      <c r="K3" s="11">
        <f>D9*K2</f>
        <v>165000</v>
      </c>
      <c r="L3" s="11">
        <f t="shared" ref="L3:L18" si="0">SUM(F3:K3)</f>
        <v>450450</v>
      </c>
      <c r="M3" s="11">
        <f>(L3*M2)</f>
        <v>45045</v>
      </c>
      <c r="N3" s="11">
        <f t="shared" ref="N3:N18" si="1">L3-M3</f>
        <v>405405</v>
      </c>
    </row>
    <row r="4" spans="1:14" ht="18" customHeight="1" thickBot="1" x14ac:dyDescent="0.3">
      <c r="A4" s="2" t="s">
        <v>46</v>
      </c>
      <c r="B4" s="5" t="s">
        <v>61</v>
      </c>
      <c r="C4" s="9">
        <v>1060000</v>
      </c>
      <c r="D4" s="11">
        <f>C4*D2</f>
        <v>159000</v>
      </c>
      <c r="F4" s="11">
        <f>D5*F2</f>
        <v>81000</v>
      </c>
      <c r="G4" s="11">
        <f>D6*G2</f>
        <v>79500</v>
      </c>
      <c r="H4" s="11">
        <f>D7*H2</f>
        <v>115500.00000000001</v>
      </c>
      <c r="I4" s="11">
        <f>D8*I2</f>
        <v>187500</v>
      </c>
      <c r="J4" s="11">
        <f>D9*J2</f>
        <v>330000</v>
      </c>
      <c r="K4" s="11">
        <f>D10*K2</f>
        <v>45000</v>
      </c>
      <c r="L4" s="11">
        <f t="shared" si="0"/>
        <v>838500</v>
      </c>
      <c r="M4" s="11">
        <f>(L4*M2)</f>
        <v>83850</v>
      </c>
      <c r="N4" s="11">
        <f t="shared" si="1"/>
        <v>754650</v>
      </c>
    </row>
    <row r="5" spans="1:14" ht="18" customHeight="1" thickBot="1" x14ac:dyDescent="0.3">
      <c r="A5" s="2" t="s">
        <v>47</v>
      </c>
      <c r="B5" s="5" t="s">
        <v>62</v>
      </c>
      <c r="C5" s="9">
        <v>2700000</v>
      </c>
      <c r="D5" s="11">
        <f>C5*D2</f>
        <v>405000</v>
      </c>
      <c r="F5" s="11">
        <f>D6*F2</f>
        <v>159000</v>
      </c>
      <c r="G5" s="11">
        <f>D7*G2</f>
        <v>165000</v>
      </c>
      <c r="H5" s="11">
        <f>D8*H2</f>
        <v>262500</v>
      </c>
      <c r="I5" s="11">
        <f>D9*I2</f>
        <v>825000</v>
      </c>
      <c r="J5" s="11">
        <f>D10*J2</f>
        <v>90000</v>
      </c>
      <c r="K5" s="11">
        <f>D11*K2</f>
        <v>12000</v>
      </c>
      <c r="L5" s="11">
        <f t="shared" si="0"/>
        <v>1513500</v>
      </c>
      <c r="M5" s="11">
        <f>(L5*M2)</f>
        <v>151350</v>
      </c>
      <c r="N5" s="11">
        <f t="shared" si="1"/>
        <v>1362150</v>
      </c>
    </row>
    <row r="6" spans="1:14" ht="18" customHeight="1" thickBot="1" x14ac:dyDescent="0.3">
      <c r="A6" s="2" t="s">
        <v>48</v>
      </c>
      <c r="B6" s="5" t="s">
        <v>64</v>
      </c>
      <c r="C6" s="9">
        <v>5300000</v>
      </c>
      <c r="D6" s="11">
        <f>C6*D2</f>
        <v>795000</v>
      </c>
      <c r="F6" s="11">
        <f>D7*F2</f>
        <v>330000</v>
      </c>
      <c r="G6" s="11">
        <f>D8*G2</f>
        <v>375000</v>
      </c>
      <c r="H6" s="11">
        <f>D9*H2</f>
        <v>1155000</v>
      </c>
      <c r="I6" s="11">
        <f>D10*I2</f>
        <v>225000</v>
      </c>
      <c r="J6" s="11">
        <f>D11*J2</f>
        <v>24000</v>
      </c>
      <c r="K6" s="11">
        <f>D12*K2</f>
        <v>11250</v>
      </c>
      <c r="L6" s="11">
        <f t="shared" si="0"/>
        <v>2120250</v>
      </c>
      <c r="M6" s="11">
        <f>(L6*M2)</f>
        <v>212025</v>
      </c>
      <c r="N6" s="11">
        <f t="shared" si="1"/>
        <v>1908225</v>
      </c>
    </row>
    <row r="7" spans="1:14" ht="18" customHeight="1" thickBot="1" x14ac:dyDescent="0.3">
      <c r="A7" s="2" t="s">
        <v>49</v>
      </c>
      <c r="B7" s="5" t="s">
        <v>68</v>
      </c>
      <c r="C7" s="9">
        <v>11000000</v>
      </c>
      <c r="D7" s="11">
        <f>C7*D2</f>
        <v>1650000</v>
      </c>
      <c r="F7" s="11">
        <f>D8*F2</f>
        <v>750000</v>
      </c>
      <c r="G7" s="11">
        <f>D9*G2</f>
        <v>1650000</v>
      </c>
      <c r="H7" s="11">
        <f>D10*H2</f>
        <v>315000.00000000006</v>
      </c>
      <c r="I7" s="11">
        <f>D11*I2</f>
        <v>60000</v>
      </c>
      <c r="J7" s="11">
        <f>D12*J2</f>
        <v>22500</v>
      </c>
      <c r="K7" s="11">
        <f>D13*K2</f>
        <v>33750</v>
      </c>
      <c r="L7" s="11">
        <f t="shared" si="0"/>
        <v>2831250</v>
      </c>
      <c r="M7" s="11">
        <f>(L7*M2)</f>
        <v>283125</v>
      </c>
      <c r="N7" s="11">
        <f t="shared" si="1"/>
        <v>2548125</v>
      </c>
    </row>
    <row r="8" spans="1:14" ht="18" customHeight="1" thickBot="1" x14ac:dyDescent="0.3">
      <c r="A8" s="2" t="s">
        <v>50</v>
      </c>
      <c r="B8" s="5" t="s">
        <v>63</v>
      </c>
      <c r="C8" s="9">
        <v>25000000</v>
      </c>
      <c r="D8" s="11">
        <f>C8*D2</f>
        <v>3750000</v>
      </c>
      <c r="F8" s="11">
        <f>D9*F2</f>
        <v>3300000</v>
      </c>
      <c r="G8" s="11">
        <f>D10*G2</f>
        <v>450000</v>
      </c>
      <c r="H8" s="11">
        <f>D11*H2</f>
        <v>84000.000000000015</v>
      </c>
      <c r="I8" s="11">
        <f>D12*I2</f>
        <v>56250</v>
      </c>
      <c r="J8" s="11">
        <f>D13*J2</f>
        <v>67500</v>
      </c>
      <c r="K8" s="11">
        <f>D14*K2</f>
        <v>900000</v>
      </c>
      <c r="L8" s="11">
        <f t="shared" si="0"/>
        <v>4857750</v>
      </c>
      <c r="M8" s="11">
        <f>(L8*M2)</f>
        <v>485775</v>
      </c>
      <c r="N8" s="11">
        <f t="shared" si="1"/>
        <v>4371975</v>
      </c>
    </row>
    <row r="9" spans="1:14" ht="18" customHeight="1" thickBot="1" x14ac:dyDescent="0.3">
      <c r="A9" s="2" t="s">
        <v>51</v>
      </c>
      <c r="B9" s="5" t="s">
        <v>67</v>
      </c>
      <c r="C9" s="9">
        <v>110000000</v>
      </c>
      <c r="D9" s="11">
        <f>C9*D2</f>
        <v>16500000</v>
      </c>
      <c r="F9" s="11">
        <f>D10*F2</f>
        <v>900000</v>
      </c>
      <c r="G9" s="11">
        <f>D11*G2</f>
        <v>120000</v>
      </c>
      <c r="H9" s="11">
        <f>D12*H2</f>
        <v>78750.000000000015</v>
      </c>
      <c r="I9" s="11">
        <f>D13*I2</f>
        <v>168750</v>
      </c>
      <c r="J9" s="11">
        <f>D14*J2</f>
        <v>1800000</v>
      </c>
      <c r="K9" s="11">
        <f>D15*K2</f>
        <v>225000</v>
      </c>
      <c r="L9" s="11">
        <f t="shared" si="0"/>
        <v>3292500</v>
      </c>
      <c r="M9" s="11">
        <f>(L9*M2)</f>
        <v>329250</v>
      </c>
      <c r="N9" s="11">
        <f t="shared" si="1"/>
        <v>2963250</v>
      </c>
    </row>
    <row r="10" spans="1:14" ht="18" customHeight="1" thickBot="1" x14ac:dyDescent="0.3">
      <c r="A10" s="2" t="s">
        <v>52</v>
      </c>
      <c r="B10" s="5" t="s">
        <v>66</v>
      </c>
      <c r="C10" s="9">
        <v>30000000</v>
      </c>
      <c r="D10" s="11">
        <f>C10*D2</f>
        <v>4500000</v>
      </c>
      <c r="F10" s="11">
        <f>D11*F2</f>
        <v>240000</v>
      </c>
      <c r="G10" s="11">
        <f>D12*G2</f>
        <v>112500</v>
      </c>
      <c r="H10" s="11">
        <f>D13*H2</f>
        <v>236250.00000000003</v>
      </c>
      <c r="I10" s="11">
        <f>D14*I2</f>
        <v>4500000</v>
      </c>
      <c r="J10" s="11">
        <f>D15*J2</f>
        <v>450000</v>
      </c>
      <c r="K10" s="11">
        <f>D16*K2</f>
        <v>79500</v>
      </c>
      <c r="L10" s="11">
        <f t="shared" si="0"/>
        <v>5618250</v>
      </c>
      <c r="M10" s="11">
        <f>(L10*M2)</f>
        <v>561825</v>
      </c>
      <c r="N10" s="11">
        <f t="shared" si="1"/>
        <v>5056425</v>
      </c>
    </row>
    <row r="11" spans="1:14" ht="18" customHeight="1" thickBot="1" x14ac:dyDescent="0.3">
      <c r="A11" s="2" t="s">
        <v>53</v>
      </c>
      <c r="B11" s="5" t="s">
        <v>65</v>
      </c>
      <c r="C11" s="9">
        <v>8000000</v>
      </c>
      <c r="D11" s="11">
        <f>C11*D2</f>
        <v>1200000</v>
      </c>
      <c r="F11" s="11">
        <f>D12*F2</f>
        <v>225000</v>
      </c>
      <c r="G11" s="11">
        <f>D13*G2</f>
        <v>337500</v>
      </c>
      <c r="H11" s="11">
        <f>D14*H2</f>
        <v>6300000.0000000009</v>
      </c>
      <c r="I11" s="11">
        <f>D15*I2</f>
        <v>1125000</v>
      </c>
      <c r="J11" s="11">
        <f>D16*J2</f>
        <v>159000</v>
      </c>
      <c r="K11" s="11">
        <f>D17*K2</f>
        <v>112500</v>
      </c>
      <c r="L11" s="11">
        <f t="shared" si="0"/>
        <v>8259000.0000000009</v>
      </c>
      <c r="M11" s="11">
        <f>(L11*M2)</f>
        <v>825900.00000000012</v>
      </c>
      <c r="N11" s="11">
        <f t="shared" si="1"/>
        <v>7433100.0000000009</v>
      </c>
    </row>
    <row r="12" spans="1:14" ht="18" customHeight="1" thickBot="1" x14ac:dyDescent="0.3">
      <c r="A12" s="2" t="s">
        <v>54</v>
      </c>
      <c r="B12" s="5" t="s">
        <v>69</v>
      </c>
      <c r="C12" s="9">
        <v>7500000</v>
      </c>
      <c r="D12" s="11">
        <f>C12*D2</f>
        <v>1125000</v>
      </c>
      <c r="F12" s="11">
        <f>D13*F2</f>
        <v>675000</v>
      </c>
      <c r="G12" s="11">
        <f>D14*G2</f>
        <v>9000000</v>
      </c>
      <c r="H12" s="11">
        <f>D15*H2</f>
        <v>1575000.0000000002</v>
      </c>
      <c r="I12" s="11">
        <f>D16*I2</f>
        <v>397500</v>
      </c>
      <c r="J12" s="11">
        <f>D17*J2</f>
        <v>225000</v>
      </c>
      <c r="K12" s="11">
        <f>D18*K2</f>
        <v>15000</v>
      </c>
      <c r="L12" s="11">
        <f t="shared" si="0"/>
        <v>11887500</v>
      </c>
      <c r="M12" s="11">
        <f>(L12*M2)</f>
        <v>1188750</v>
      </c>
      <c r="N12" s="11">
        <f t="shared" si="1"/>
        <v>10698750</v>
      </c>
    </row>
    <row r="13" spans="1:14" ht="18" customHeight="1" thickBot="1" x14ac:dyDescent="0.3">
      <c r="A13" s="2" t="s">
        <v>55</v>
      </c>
      <c r="B13" s="5" t="s">
        <v>70</v>
      </c>
      <c r="C13" s="9">
        <v>22500000</v>
      </c>
      <c r="D13" s="11">
        <f>C13*D2</f>
        <v>3375000</v>
      </c>
      <c r="F13" s="11">
        <f>D14*F2</f>
        <v>18000000</v>
      </c>
      <c r="G13" s="11">
        <f>D15*G2</f>
        <v>2250000</v>
      </c>
      <c r="H13" s="11">
        <f>D16*H2</f>
        <v>556500</v>
      </c>
      <c r="I13" s="11">
        <f>D17*I2</f>
        <v>562500</v>
      </c>
      <c r="J13" s="11">
        <f>D18*J2</f>
        <v>30000</v>
      </c>
      <c r="K13" s="11"/>
      <c r="L13" s="11">
        <f t="shared" si="0"/>
        <v>21399000</v>
      </c>
      <c r="M13" s="11">
        <f>(L13*M2)</f>
        <v>2139900</v>
      </c>
      <c r="N13" s="11">
        <f t="shared" si="1"/>
        <v>19259100</v>
      </c>
    </row>
    <row r="14" spans="1:14" ht="18" customHeight="1" thickBot="1" x14ac:dyDescent="0.3">
      <c r="A14" s="2" t="s">
        <v>56</v>
      </c>
      <c r="B14" s="5" t="s">
        <v>71</v>
      </c>
      <c r="C14" s="9">
        <v>600000000</v>
      </c>
      <c r="D14" s="11">
        <f>C14*D2</f>
        <v>90000000</v>
      </c>
      <c r="F14" s="11">
        <f>D15*F2</f>
        <v>4500000</v>
      </c>
      <c r="G14" s="11">
        <f>D16*G2</f>
        <v>795000</v>
      </c>
      <c r="H14" s="11">
        <f>D17*H2</f>
        <v>787500.00000000012</v>
      </c>
      <c r="I14" s="11">
        <f>D18*I2</f>
        <v>75000</v>
      </c>
      <c r="J14" s="11"/>
      <c r="K14" s="11"/>
      <c r="L14" s="11">
        <f t="shared" si="0"/>
        <v>6157500</v>
      </c>
      <c r="M14" s="11">
        <f>(L14*M2)</f>
        <v>615750</v>
      </c>
      <c r="N14" s="11">
        <f t="shared" si="1"/>
        <v>5541750</v>
      </c>
    </row>
    <row r="15" spans="1:14" ht="18" customHeight="1" thickBot="1" x14ac:dyDescent="0.3">
      <c r="A15" s="2" t="s">
        <v>57</v>
      </c>
      <c r="B15" s="5" t="s">
        <v>72</v>
      </c>
      <c r="C15" s="9">
        <v>150000000</v>
      </c>
      <c r="D15" s="11">
        <f>C15*D2</f>
        <v>22500000</v>
      </c>
      <c r="F15" s="11">
        <f>D16*F2</f>
        <v>1590000</v>
      </c>
      <c r="G15" s="11">
        <f>D17*G2</f>
        <v>1125000</v>
      </c>
      <c r="H15" s="11">
        <f>D18*H2</f>
        <v>105000.00000000001</v>
      </c>
      <c r="I15" s="11"/>
      <c r="J15" s="11"/>
      <c r="K15" s="11"/>
      <c r="L15" s="11">
        <f t="shared" si="0"/>
        <v>2820000</v>
      </c>
      <c r="M15" s="11">
        <f>(L15*M2)</f>
        <v>282000</v>
      </c>
      <c r="N15" s="11">
        <f t="shared" si="1"/>
        <v>2538000</v>
      </c>
    </row>
    <row r="16" spans="1:14" ht="18" customHeight="1" thickBot="1" x14ac:dyDescent="0.3">
      <c r="A16" s="2" t="s">
        <v>58</v>
      </c>
      <c r="B16" s="5" t="s">
        <v>73</v>
      </c>
      <c r="C16" s="9">
        <v>53000000</v>
      </c>
      <c r="D16" s="11">
        <f>C16*D2</f>
        <v>7950000</v>
      </c>
      <c r="F16" s="11">
        <f>D17*F2</f>
        <v>2250000</v>
      </c>
      <c r="G16" s="11">
        <f>D18*G2</f>
        <v>150000</v>
      </c>
      <c r="H16" s="11"/>
      <c r="I16" s="11"/>
      <c r="J16" s="11"/>
      <c r="K16" s="11"/>
      <c r="L16" s="11">
        <f t="shared" si="0"/>
        <v>2400000</v>
      </c>
      <c r="M16" s="11">
        <f>(L16*M2)</f>
        <v>240000</v>
      </c>
      <c r="N16" s="11">
        <f t="shared" si="1"/>
        <v>2160000</v>
      </c>
    </row>
    <row r="17" spans="1:14" ht="18" customHeight="1" thickBot="1" x14ac:dyDescent="0.3">
      <c r="A17" s="2" t="s">
        <v>59</v>
      </c>
      <c r="B17" s="5" t="s">
        <v>74</v>
      </c>
      <c r="C17" s="9">
        <v>75000000</v>
      </c>
      <c r="D17" s="11">
        <f>C17*D2</f>
        <v>11250000</v>
      </c>
      <c r="F17" s="11">
        <f>D18*F2</f>
        <v>300000</v>
      </c>
      <c r="G17" s="11"/>
      <c r="H17" s="11"/>
      <c r="I17" s="11"/>
      <c r="J17" s="11"/>
      <c r="K17" s="11"/>
      <c r="L17" s="11">
        <f t="shared" si="0"/>
        <v>300000</v>
      </c>
      <c r="M17" s="11">
        <f>(L17*M2)</f>
        <v>30000</v>
      </c>
      <c r="N17" s="11">
        <f t="shared" si="1"/>
        <v>270000</v>
      </c>
    </row>
    <row r="18" spans="1:14" ht="18" customHeight="1" thickBot="1" x14ac:dyDescent="0.3">
      <c r="A18" s="2" t="s">
        <v>60</v>
      </c>
      <c r="B18" s="5" t="s">
        <v>75</v>
      </c>
      <c r="C18" s="9">
        <v>10000000</v>
      </c>
      <c r="D18" s="11">
        <f>C18*D2</f>
        <v>1500000</v>
      </c>
      <c r="F18" s="11"/>
      <c r="G18" s="11"/>
      <c r="H18" s="11"/>
      <c r="I18" s="11"/>
      <c r="J18" s="11"/>
      <c r="K18" s="11"/>
      <c r="L18" s="11">
        <f t="shared" si="0"/>
        <v>0</v>
      </c>
      <c r="M18" s="11">
        <f>(L18*M2)</f>
        <v>0</v>
      </c>
      <c r="N18" s="11">
        <f t="shared" si="1"/>
        <v>0</v>
      </c>
    </row>
    <row r="19" spans="1:14" ht="20.25" thickBot="1" x14ac:dyDescent="0.3">
      <c r="A19" s="2" t="s">
        <v>7</v>
      </c>
      <c r="B19" s="5"/>
      <c r="C19" s="10">
        <f t="shared" ref="C19:D19" si="2">SUM(C3:C18)</f>
        <v>1111111111</v>
      </c>
      <c r="D19" s="11">
        <f t="shared" si="2"/>
        <v>166666666.65000001</v>
      </c>
      <c r="F19" s="11">
        <f t="shared" ref="F19:N19" si="3">SUM(F3:F18)</f>
        <v>33331800</v>
      </c>
      <c r="G19" s="11">
        <f t="shared" si="3"/>
        <v>16650000</v>
      </c>
      <c r="H19" s="11">
        <f t="shared" si="3"/>
        <v>11626650</v>
      </c>
      <c r="I19" s="11">
        <f t="shared" si="3"/>
        <v>8265000</v>
      </c>
      <c r="J19" s="11">
        <f t="shared" si="3"/>
        <v>3273000</v>
      </c>
      <c r="K19" s="11">
        <f t="shared" si="3"/>
        <v>1599000</v>
      </c>
      <c r="L19" s="12">
        <f t="shared" si="3"/>
        <v>74745450</v>
      </c>
      <c r="M19" s="12">
        <f t="shared" si="3"/>
        <v>7474545</v>
      </c>
      <c r="N19" s="12">
        <f t="shared" si="3"/>
        <v>67270905</v>
      </c>
    </row>
    <row r="20" spans="1:14" ht="15.75" thickBot="1" x14ac:dyDescent="0.3">
      <c r="A20" s="5"/>
      <c r="B20" s="5"/>
      <c r="C20" s="5"/>
      <c r="D20" s="6">
        <f>D19/C19</f>
        <v>0.15</v>
      </c>
      <c r="F20" s="6">
        <f>F19/D19</f>
        <v>0.19999080001999908</v>
      </c>
      <c r="G20" s="6">
        <f>G19/D19</f>
        <v>9.9900000009989998E-2</v>
      </c>
      <c r="H20" s="6">
        <f>H19/D19</f>
        <v>6.9759900006975989E-2</v>
      </c>
      <c r="I20" s="6">
        <f>I19/D19</f>
        <v>4.9590000004959001E-2</v>
      </c>
      <c r="J20" s="6">
        <f>J19/D19</f>
        <v>1.96380000019638E-2</v>
      </c>
      <c r="K20" s="6">
        <f>K19/D19</f>
        <v>9.5940000009593993E-3</v>
      </c>
      <c r="L20" s="8">
        <f>L19/C19</f>
        <v>6.7270905006727097E-2</v>
      </c>
      <c r="M20" s="8">
        <f>M19/C19</f>
        <v>6.7270905006727088E-3</v>
      </c>
      <c r="N20" s="8">
        <f>N19/C19</f>
        <v>6.054381450605438E-2</v>
      </c>
    </row>
  </sheetData>
  <mergeCells count="4">
    <mergeCell ref="A1:C2"/>
    <mergeCell ref="F1:K1"/>
    <mergeCell ref="L1:L2"/>
    <mergeCell ref="N1:N2"/>
  </mergeCells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A70C-6A8B-405D-B6C8-A319F71AC2F8}">
  <dimension ref="A1:J34"/>
  <sheetViews>
    <sheetView zoomScale="110" zoomScaleNormal="110" workbookViewId="0">
      <selection activeCell="G18" sqref="G18"/>
    </sheetView>
  </sheetViews>
  <sheetFormatPr defaultRowHeight="15" x14ac:dyDescent="0.25"/>
  <cols>
    <col min="1" max="1" width="13.7109375" bestFit="1" customWidth="1"/>
    <col min="2" max="2" width="14" customWidth="1"/>
    <col min="3" max="3" width="11.85546875" customWidth="1"/>
    <col min="4" max="4" width="4.7109375" customWidth="1"/>
    <col min="5" max="5" width="38" customWidth="1"/>
    <col min="6" max="6" width="9.140625" customWidth="1"/>
    <col min="8" max="8" width="50.7109375" customWidth="1"/>
  </cols>
  <sheetData>
    <row r="1" spans="1:10" x14ac:dyDescent="0.25">
      <c r="A1" s="33" t="s">
        <v>42</v>
      </c>
      <c r="B1" s="34"/>
      <c r="C1" s="35"/>
      <c r="E1" s="24" t="s">
        <v>77</v>
      </c>
      <c r="F1" s="40" t="s">
        <v>97</v>
      </c>
      <c r="G1" s="25"/>
      <c r="H1" s="25"/>
      <c r="I1" s="25"/>
      <c r="J1" s="25"/>
    </row>
    <row r="2" spans="1:10" ht="15.75" thickBot="1" x14ac:dyDescent="0.3">
      <c r="A2" s="36"/>
      <c r="B2" s="37"/>
      <c r="C2" s="38"/>
      <c r="E2" t="s">
        <v>78</v>
      </c>
      <c r="F2" t="s">
        <v>98</v>
      </c>
      <c r="G2" s="1" t="s">
        <v>99</v>
      </c>
      <c r="H2" t="s">
        <v>100</v>
      </c>
    </row>
    <row r="3" spans="1:10" ht="15.75" thickBot="1" x14ac:dyDescent="0.3">
      <c r="A3" s="5" t="s">
        <v>28</v>
      </c>
      <c r="B3" s="11" t="s">
        <v>21</v>
      </c>
      <c r="C3" s="7">
        <v>0.01</v>
      </c>
      <c r="E3" t="s">
        <v>79</v>
      </c>
      <c r="G3" s="1"/>
      <c r="H3" t="s">
        <v>101</v>
      </c>
    </row>
    <row r="4" spans="1:10" ht="15.75" thickBot="1" x14ac:dyDescent="0.3">
      <c r="A4" s="5" t="s">
        <v>19</v>
      </c>
      <c r="B4" s="5" t="s">
        <v>23</v>
      </c>
      <c r="C4" s="7">
        <v>7.4999999999999997E-3</v>
      </c>
      <c r="E4" t="s">
        <v>80</v>
      </c>
      <c r="F4" t="s">
        <v>111</v>
      </c>
    </row>
    <row r="5" spans="1:10" ht="15.75" thickBot="1" x14ac:dyDescent="0.3">
      <c r="A5" s="5" t="s">
        <v>20</v>
      </c>
      <c r="B5" s="5" t="s">
        <v>40</v>
      </c>
      <c r="C5" s="7">
        <v>5.0000000000000001E-3</v>
      </c>
      <c r="E5" t="s">
        <v>81</v>
      </c>
      <c r="F5" t="s">
        <v>112</v>
      </c>
    </row>
    <row r="6" spans="1:10" ht="15.75" thickBot="1" x14ac:dyDescent="0.3">
      <c r="A6" s="5" t="s">
        <v>22</v>
      </c>
      <c r="B6" s="5" t="s">
        <v>25</v>
      </c>
      <c r="C6" s="7">
        <v>3.5000000000000001E-3</v>
      </c>
      <c r="E6" t="s">
        <v>82</v>
      </c>
    </row>
    <row r="7" spans="1:10" ht="15.75" thickBot="1" x14ac:dyDescent="0.3">
      <c r="A7" s="5" t="s">
        <v>24</v>
      </c>
      <c r="B7" s="5" t="s">
        <v>41</v>
      </c>
      <c r="C7" s="7">
        <v>2.5000000000000001E-3</v>
      </c>
      <c r="E7" t="s">
        <v>83</v>
      </c>
      <c r="F7" t="s">
        <v>78</v>
      </c>
    </row>
    <row r="8" spans="1:10" ht="15.75" thickBot="1" x14ac:dyDescent="0.3">
      <c r="A8" s="5" t="s">
        <v>26</v>
      </c>
      <c r="B8" s="5" t="s">
        <v>29</v>
      </c>
      <c r="C8" s="7">
        <v>1.5E-3</v>
      </c>
      <c r="E8" t="s">
        <v>84</v>
      </c>
      <c r="F8" t="s">
        <v>106</v>
      </c>
    </row>
    <row r="9" spans="1:10" ht="21.75" thickBot="1" x14ac:dyDescent="0.3">
      <c r="A9" s="13" t="s">
        <v>7</v>
      </c>
      <c r="B9" s="5"/>
      <c r="C9" s="14">
        <f>SUM(C3:C8)</f>
        <v>3.0000000000000002E-2</v>
      </c>
      <c r="E9" t="s">
        <v>86</v>
      </c>
      <c r="F9" t="s">
        <v>105</v>
      </c>
    </row>
    <row r="10" spans="1:10" x14ac:dyDescent="0.25">
      <c r="E10" t="s">
        <v>85</v>
      </c>
      <c r="F10" t="s">
        <v>107</v>
      </c>
    </row>
    <row r="11" spans="1:10" x14ac:dyDescent="0.25">
      <c r="E11" t="s">
        <v>87</v>
      </c>
      <c r="F11" t="s">
        <v>108</v>
      </c>
    </row>
    <row r="12" spans="1:10" x14ac:dyDescent="0.25">
      <c r="E12" s="24" t="s">
        <v>91</v>
      </c>
      <c r="F12" t="s">
        <v>109</v>
      </c>
    </row>
    <row r="13" spans="1:10" x14ac:dyDescent="0.25">
      <c r="E13" t="s">
        <v>88</v>
      </c>
      <c r="F13" t="s">
        <v>110</v>
      </c>
    </row>
    <row r="14" spans="1:10" x14ac:dyDescent="0.25">
      <c r="E14" t="s">
        <v>81</v>
      </c>
      <c r="F14" t="s">
        <v>113</v>
      </c>
    </row>
    <row r="15" spans="1:10" x14ac:dyDescent="0.25">
      <c r="E15" t="s">
        <v>89</v>
      </c>
      <c r="F15" t="s">
        <v>115</v>
      </c>
    </row>
    <row r="16" spans="1:10" x14ac:dyDescent="0.25">
      <c r="E16" t="s">
        <v>90</v>
      </c>
      <c r="F16" t="s">
        <v>114</v>
      </c>
    </row>
    <row r="17" spans="5:5" x14ac:dyDescent="0.25">
      <c r="E17" t="s">
        <v>86</v>
      </c>
    </row>
    <row r="18" spans="5:5" x14ac:dyDescent="0.25">
      <c r="E18" t="s">
        <v>85</v>
      </c>
    </row>
    <row r="19" spans="5:5" x14ac:dyDescent="0.25">
      <c r="E19" t="s">
        <v>87</v>
      </c>
    </row>
    <row r="20" spans="5:5" x14ac:dyDescent="0.25">
      <c r="E20" t="s">
        <v>92</v>
      </c>
    </row>
    <row r="21" spans="5:5" x14ac:dyDescent="0.25">
      <c r="E21" t="s">
        <v>102</v>
      </c>
    </row>
    <row r="22" spans="5:5" x14ac:dyDescent="0.25">
      <c r="E22" t="s">
        <v>103</v>
      </c>
    </row>
    <row r="23" spans="5:5" x14ac:dyDescent="0.25">
      <c r="E23" t="s">
        <v>94</v>
      </c>
    </row>
    <row r="24" spans="5:5" x14ac:dyDescent="0.25">
      <c r="E24" t="s">
        <v>93</v>
      </c>
    </row>
    <row r="25" spans="5:5" x14ac:dyDescent="0.25">
      <c r="E25" t="s">
        <v>95</v>
      </c>
    </row>
    <row r="26" spans="5:5" x14ac:dyDescent="0.25">
      <c r="E26" t="s">
        <v>96</v>
      </c>
    </row>
    <row r="34" spans="2:2" x14ac:dyDescent="0.25">
      <c r="B34" t="s">
        <v>104</v>
      </c>
    </row>
  </sheetData>
  <mergeCells count="1">
    <mergeCell ref="A1:C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EF9F-7704-4035-BE59-25D3A70623A4}">
  <dimension ref="A1:M20"/>
  <sheetViews>
    <sheetView zoomScale="90" zoomScaleNormal="90" workbookViewId="0">
      <selection activeCell="E2" sqref="E2:J2"/>
    </sheetView>
  </sheetViews>
  <sheetFormatPr defaultRowHeight="15" x14ac:dyDescent="0.25"/>
  <cols>
    <col min="3" max="3" width="20.85546875" bestFit="1" customWidth="1"/>
    <col min="4" max="4" width="12.42578125" bestFit="1" customWidth="1"/>
    <col min="5" max="7" width="11.42578125" bestFit="1" customWidth="1"/>
    <col min="8" max="10" width="9.85546875" bestFit="1" customWidth="1"/>
    <col min="11" max="11" width="17.85546875" bestFit="1" customWidth="1"/>
    <col min="12" max="12" width="22.28515625" bestFit="1" customWidth="1"/>
    <col min="13" max="13" width="24.5703125" bestFit="1" customWidth="1"/>
  </cols>
  <sheetData>
    <row r="1" spans="1:13" ht="20.25" thickBot="1" x14ac:dyDescent="0.3">
      <c r="A1" s="39" t="s">
        <v>39</v>
      </c>
      <c r="B1" s="39"/>
      <c r="C1" s="39"/>
      <c r="D1" s="2" t="s">
        <v>8</v>
      </c>
      <c r="E1" s="43" t="s">
        <v>116</v>
      </c>
      <c r="F1" s="43"/>
      <c r="G1" s="43"/>
      <c r="H1" s="43"/>
      <c r="I1" s="43"/>
      <c r="J1" s="43"/>
      <c r="K1" s="26" t="s">
        <v>43</v>
      </c>
      <c r="L1" s="2" t="s">
        <v>6</v>
      </c>
      <c r="M1" s="26" t="s">
        <v>44</v>
      </c>
    </row>
    <row r="2" spans="1:13" ht="20.25" thickBot="1" x14ac:dyDescent="0.3">
      <c r="A2" s="39"/>
      <c r="B2" s="39"/>
      <c r="C2" s="39"/>
      <c r="D2" s="15">
        <v>0.15</v>
      </c>
      <c r="E2" s="15">
        <v>0.21</v>
      </c>
      <c r="F2" s="15">
        <v>0.11</v>
      </c>
      <c r="G2" s="15">
        <v>0.08</v>
      </c>
      <c r="H2" s="15">
        <v>0.06</v>
      </c>
      <c r="I2" s="15">
        <v>0.03</v>
      </c>
      <c r="J2" s="15">
        <v>0.02</v>
      </c>
      <c r="K2" s="27"/>
      <c r="L2" s="15">
        <v>0.1</v>
      </c>
      <c r="M2" s="27"/>
    </row>
    <row r="3" spans="1:13" ht="20.25" thickBot="1" x14ac:dyDescent="0.3">
      <c r="A3" s="2" t="s">
        <v>45</v>
      </c>
      <c r="B3" s="5" t="s">
        <v>76</v>
      </c>
      <c r="C3" s="9">
        <v>51111</v>
      </c>
      <c r="D3" s="11">
        <f>C3*D2</f>
        <v>7666.65</v>
      </c>
      <c r="E3" s="11">
        <f>D4*E2</f>
        <v>33390</v>
      </c>
      <c r="F3" s="11">
        <f>D5*F2</f>
        <v>44550</v>
      </c>
      <c r="G3" s="11">
        <f>D6*G2</f>
        <v>63600</v>
      </c>
      <c r="H3" s="11">
        <f>D7*H2</f>
        <v>99000</v>
      </c>
      <c r="I3" s="11">
        <f>D8*I2</f>
        <v>112500</v>
      </c>
      <c r="J3" s="11">
        <f>D9*J2</f>
        <v>330000</v>
      </c>
      <c r="K3" s="11">
        <f t="shared" ref="K3:K18" si="0">SUM(E3:J3)</f>
        <v>683040</v>
      </c>
      <c r="L3" s="11">
        <f>(K3*L2)</f>
        <v>68304</v>
      </c>
      <c r="M3" s="11">
        <f t="shared" ref="M3:M18" si="1">K3-L3</f>
        <v>614736</v>
      </c>
    </row>
    <row r="4" spans="1:13" ht="20.25" thickBot="1" x14ac:dyDescent="0.3">
      <c r="A4" s="2" t="s">
        <v>46</v>
      </c>
      <c r="B4" s="5" t="s">
        <v>61</v>
      </c>
      <c r="C4" s="9">
        <v>1060000</v>
      </c>
      <c r="D4" s="11">
        <f>C4*D2</f>
        <v>159000</v>
      </c>
      <c r="E4" s="11">
        <f>D5*E2</f>
        <v>85050</v>
      </c>
      <c r="F4" s="11">
        <f>D6*F2</f>
        <v>87450</v>
      </c>
      <c r="G4" s="11">
        <f>D7*G2</f>
        <v>132000</v>
      </c>
      <c r="H4" s="11">
        <f>D8*H2</f>
        <v>225000</v>
      </c>
      <c r="I4" s="11">
        <f>D9*I2</f>
        <v>495000</v>
      </c>
      <c r="J4" s="11">
        <f>D10*J2</f>
        <v>90000</v>
      </c>
      <c r="K4" s="11">
        <f t="shared" si="0"/>
        <v>1114500</v>
      </c>
      <c r="L4" s="11">
        <f>(K4*L2)</f>
        <v>111450</v>
      </c>
      <c r="M4" s="11">
        <f t="shared" si="1"/>
        <v>1003050</v>
      </c>
    </row>
    <row r="5" spans="1:13" ht="20.25" thickBot="1" x14ac:dyDescent="0.3">
      <c r="A5" s="2" t="s">
        <v>47</v>
      </c>
      <c r="B5" s="5" t="s">
        <v>62</v>
      </c>
      <c r="C5" s="9">
        <v>2700000</v>
      </c>
      <c r="D5" s="11">
        <f>C5*D2</f>
        <v>405000</v>
      </c>
      <c r="E5" s="11">
        <f>D6*E2</f>
        <v>166950</v>
      </c>
      <c r="F5" s="11">
        <f>D7*F2</f>
        <v>181500</v>
      </c>
      <c r="G5" s="11">
        <f>D8*G2</f>
        <v>300000</v>
      </c>
      <c r="H5" s="11">
        <f>D9*H2</f>
        <v>990000</v>
      </c>
      <c r="I5" s="11">
        <f>D10*I2</f>
        <v>135000</v>
      </c>
      <c r="J5" s="11">
        <f>D11*J2</f>
        <v>24000</v>
      </c>
      <c r="K5" s="11">
        <f t="shared" si="0"/>
        <v>1797450</v>
      </c>
      <c r="L5" s="11">
        <f>(K5*L2)</f>
        <v>179745</v>
      </c>
      <c r="M5" s="11">
        <f t="shared" si="1"/>
        <v>1617705</v>
      </c>
    </row>
    <row r="6" spans="1:13" ht="20.25" thickBot="1" x14ac:dyDescent="0.3">
      <c r="A6" s="2" t="s">
        <v>48</v>
      </c>
      <c r="B6" s="5" t="s">
        <v>64</v>
      </c>
      <c r="C6" s="9">
        <v>5300000</v>
      </c>
      <c r="D6" s="11">
        <f>C6*D2</f>
        <v>795000</v>
      </c>
      <c r="E6" s="11">
        <f>D7*E2</f>
        <v>346500</v>
      </c>
      <c r="F6" s="11">
        <f>D8*F2</f>
        <v>412500</v>
      </c>
      <c r="G6" s="11">
        <f>D9*G2</f>
        <v>1320000</v>
      </c>
      <c r="H6" s="11">
        <f>D10*H2</f>
        <v>270000</v>
      </c>
      <c r="I6" s="11">
        <f>D11*I2</f>
        <v>36000</v>
      </c>
      <c r="J6" s="11">
        <f>D12*J2</f>
        <v>22500</v>
      </c>
      <c r="K6" s="11">
        <f t="shared" si="0"/>
        <v>2407500</v>
      </c>
      <c r="L6" s="11">
        <f>(K6*L2)</f>
        <v>240750</v>
      </c>
      <c r="M6" s="11">
        <f t="shared" si="1"/>
        <v>2166750</v>
      </c>
    </row>
    <row r="7" spans="1:13" ht="20.25" thickBot="1" x14ac:dyDescent="0.3">
      <c r="A7" s="2" t="s">
        <v>49</v>
      </c>
      <c r="B7" s="5" t="s">
        <v>68</v>
      </c>
      <c r="C7" s="9">
        <v>11000000</v>
      </c>
      <c r="D7" s="11">
        <f>C7*D2</f>
        <v>1650000</v>
      </c>
      <c r="E7" s="11">
        <f>D8*E2</f>
        <v>787500</v>
      </c>
      <c r="F7" s="11">
        <f>D9*F2</f>
        <v>1815000</v>
      </c>
      <c r="G7" s="11">
        <f>D10*G2</f>
        <v>360000</v>
      </c>
      <c r="H7" s="11">
        <f>D11*H2</f>
        <v>72000</v>
      </c>
      <c r="I7" s="11">
        <f>D12*I2</f>
        <v>33750</v>
      </c>
      <c r="J7" s="11">
        <f>D13*J2</f>
        <v>67500</v>
      </c>
      <c r="K7" s="11">
        <f t="shared" si="0"/>
        <v>3135750</v>
      </c>
      <c r="L7" s="11">
        <f>(K7*L2)</f>
        <v>313575</v>
      </c>
      <c r="M7" s="11">
        <f t="shared" si="1"/>
        <v>2822175</v>
      </c>
    </row>
    <row r="8" spans="1:13" ht="20.25" thickBot="1" x14ac:dyDescent="0.3">
      <c r="A8" s="2" t="s">
        <v>50</v>
      </c>
      <c r="B8" s="5" t="s">
        <v>63</v>
      </c>
      <c r="C8" s="9">
        <v>25000000</v>
      </c>
      <c r="D8" s="11">
        <f>C8*D2</f>
        <v>3750000</v>
      </c>
      <c r="E8" s="11">
        <f>D9*E2</f>
        <v>3465000</v>
      </c>
      <c r="F8" s="11">
        <f>D10*F2</f>
        <v>495000</v>
      </c>
      <c r="G8" s="11">
        <f>D11*G2</f>
        <v>96000</v>
      </c>
      <c r="H8" s="11">
        <f>D12*H2</f>
        <v>67500</v>
      </c>
      <c r="I8" s="11">
        <f>D13*I2</f>
        <v>101250</v>
      </c>
      <c r="J8" s="11">
        <f>D14*J2</f>
        <v>1800000</v>
      </c>
      <c r="K8" s="11">
        <f t="shared" si="0"/>
        <v>6024750</v>
      </c>
      <c r="L8" s="11">
        <f>(K8*L2)</f>
        <v>602475</v>
      </c>
      <c r="M8" s="11">
        <f t="shared" si="1"/>
        <v>5422275</v>
      </c>
    </row>
    <row r="9" spans="1:13" ht="20.25" thickBot="1" x14ac:dyDescent="0.3">
      <c r="A9" s="2" t="s">
        <v>51</v>
      </c>
      <c r="B9" s="5" t="s">
        <v>67</v>
      </c>
      <c r="C9" s="9">
        <v>110000000</v>
      </c>
      <c r="D9" s="11">
        <f>C9*D2</f>
        <v>16500000</v>
      </c>
      <c r="E9" s="11">
        <f>D10*E2</f>
        <v>945000</v>
      </c>
      <c r="F9" s="11">
        <f>D11*F2</f>
        <v>132000</v>
      </c>
      <c r="G9" s="11">
        <f>D12*G2</f>
        <v>90000</v>
      </c>
      <c r="H9" s="11">
        <f>D13*H2</f>
        <v>202500</v>
      </c>
      <c r="I9" s="11">
        <f>D14*I2</f>
        <v>2700000</v>
      </c>
      <c r="J9" s="11">
        <f>D15*J2</f>
        <v>450000</v>
      </c>
      <c r="K9" s="11">
        <f t="shared" si="0"/>
        <v>4519500</v>
      </c>
      <c r="L9" s="11">
        <f>(K9*L2)</f>
        <v>451950</v>
      </c>
      <c r="M9" s="11">
        <f t="shared" si="1"/>
        <v>4067550</v>
      </c>
    </row>
    <row r="10" spans="1:13" ht="20.25" thickBot="1" x14ac:dyDescent="0.3">
      <c r="A10" s="2" t="s">
        <v>52</v>
      </c>
      <c r="B10" s="5" t="s">
        <v>66</v>
      </c>
      <c r="C10" s="9">
        <v>30000000</v>
      </c>
      <c r="D10" s="11">
        <f>C10*D2</f>
        <v>4500000</v>
      </c>
      <c r="E10" s="11">
        <f>D11*E2</f>
        <v>252000</v>
      </c>
      <c r="F10" s="11">
        <f>D12*F2</f>
        <v>123750</v>
      </c>
      <c r="G10" s="11">
        <f>D13*G2</f>
        <v>270000</v>
      </c>
      <c r="H10" s="11">
        <f>D14*H2</f>
        <v>5400000</v>
      </c>
      <c r="I10" s="11">
        <f>D15*I2</f>
        <v>675000</v>
      </c>
      <c r="J10" s="11">
        <f>D16*J2</f>
        <v>159000</v>
      </c>
      <c r="K10" s="11">
        <f t="shared" si="0"/>
        <v>6879750</v>
      </c>
      <c r="L10" s="11">
        <f>(K10*L2)</f>
        <v>687975</v>
      </c>
      <c r="M10" s="11">
        <f t="shared" si="1"/>
        <v>6191775</v>
      </c>
    </row>
    <row r="11" spans="1:13" ht="20.25" thickBot="1" x14ac:dyDescent="0.3">
      <c r="A11" s="2" t="s">
        <v>53</v>
      </c>
      <c r="B11" s="5" t="s">
        <v>65</v>
      </c>
      <c r="C11" s="9">
        <v>8000000</v>
      </c>
      <c r="D11" s="11">
        <f>C11*D2</f>
        <v>1200000</v>
      </c>
      <c r="E11" s="11">
        <f>D12*E2</f>
        <v>236250</v>
      </c>
      <c r="F11" s="11">
        <f>D13*F2</f>
        <v>371250</v>
      </c>
      <c r="G11" s="11">
        <f>D14*G2</f>
        <v>7200000</v>
      </c>
      <c r="H11" s="11">
        <f>D15*H2</f>
        <v>1350000</v>
      </c>
      <c r="I11" s="11">
        <f>D16*I2</f>
        <v>238500</v>
      </c>
      <c r="J11" s="11">
        <f>D17*J2</f>
        <v>225000</v>
      </c>
      <c r="K11" s="11">
        <f t="shared" si="0"/>
        <v>9621000</v>
      </c>
      <c r="L11" s="11">
        <f>(K11*L2)</f>
        <v>962100</v>
      </c>
      <c r="M11" s="11">
        <f t="shared" si="1"/>
        <v>8658900</v>
      </c>
    </row>
    <row r="12" spans="1:13" ht="20.25" thickBot="1" x14ac:dyDescent="0.3">
      <c r="A12" s="2" t="s">
        <v>54</v>
      </c>
      <c r="B12" s="5" t="s">
        <v>69</v>
      </c>
      <c r="C12" s="9">
        <v>7500000</v>
      </c>
      <c r="D12" s="11">
        <f>C12*D2</f>
        <v>1125000</v>
      </c>
      <c r="E12" s="11">
        <f>D13*E2</f>
        <v>708750</v>
      </c>
      <c r="F12" s="11">
        <f>D14*F2</f>
        <v>9900000</v>
      </c>
      <c r="G12" s="11">
        <f>D15*G2</f>
        <v>1800000</v>
      </c>
      <c r="H12" s="11">
        <f>D16*H2</f>
        <v>477000</v>
      </c>
      <c r="I12" s="11">
        <f>D17*I2</f>
        <v>337500</v>
      </c>
      <c r="J12" s="11">
        <f>D18*J2</f>
        <v>30000</v>
      </c>
      <c r="K12" s="11">
        <f t="shared" si="0"/>
        <v>13253250</v>
      </c>
      <c r="L12" s="11">
        <f>(K12*L2)</f>
        <v>1325325</v>
      </c>
      <c r="M12" s="11">
        <f t="shared" si="1"/>
        <v>11927925</v>
      </c>
    </row>
    <row r="13" spans="1:13" ht="20.25" thickBot="1" x14ac:dyDescent="0.3">
      <c r="A13" s="2" t="s">
        <v>55</v>
      </c>
      <c r="B13" s="5" t="s">
        <v>70</v>
      </c>
      <c r="C13" s="9">
        <v>22500000</v>
      </c>
      <c r="D13" s="11">
        <f>C13*D2</f>
        <v>3375000</v>
      </c>
      <c r="E13" s="11">
        <f>D14*E2</f>
        <v>18900000</v>
      </c>
      <c r="F13" s="11">
        <f>D15*F2</f>
        <v>2475000</v>
      </c>
      <c r="G13" s="11">
        <f>D16*G2</f>
        <v>636000</v>
      </c>
      <c r="H13" s="11">
        <f>D17*H2</f>
        <v>675000</v>
      </c>
      <c r="I13" s="11">
        <f>D18*I2</f>
        <v>45000</v>
      </c>
      <c r="J13" s="11"/>
      <c r="K13" s="11">
        <f t="shared" si="0"/>
        <v>22731000</v>
      </c>
      <c r="L13" s="11">
        <f>(K13*L2)</f>
        <v>2273100</v>
      </c>
      <c r="M13" s="11">
        <f t="shared" si="1"/>
        <v>20457900</v>
      </c>
    </row>
    <row r="14" spans="1:13" ht="20.25" thickBot="1" x14ac:dyDescent="0.3">
      <c r="A14" s="2" t="s">
        <v>56</v>
      </c>
      <c r="B14" s="5" t="s">
        <v>71</v>
      </c>
      <c r="C14" s="9">
        <v>600000000</v>
      </c>
      <c r="D14" s="11">
        <f>C14*D2</f>
        <v>90000000</v>
      </c>
      <c r="E14" s="11">
        <f>D15*E2</f>
        <v>4725000</v>
      </c>
      <c r="F14" s="11">
        <f>D16*F2</f>
        <v>874500</v>
      </c>
      <c r="G14" s="11">
        <f>D17*G2</f>
        <v>900000</v>
      </c>
      <c r="H14" s="11">
        <f>D18*H2</f>
        <v>90000</v>
      </c>
      <c r="I14" s="11"/>
      <c r="J14" s="11"/>
      <c r="K14" s="11">
        <f t="shared" si="0"/>
        <v>6589500</v>
      </c>
      <c r="L14" s="11">
        <f>(K14*L2)</f>
        <v>658950</v>
      </c>
      <c r="M14" s="11">
        <f t="shared" si="1"/>
        <v>5930550</v>
      </c>
    </row>
    <row r="15" spans="1:13" ht="20.25" thickBot="1" x14ac:dyDescent="0.3">
      <c r="A15" s="2" t="s">
        <v>57</v>
      </c>
      <c r="B15" s="5" t="s">
        <v>72</v>
      </c>
      <c r="C15" s="9">
        <v>150000000</v>
      </c>
      <c r="D15" s="11">
        <f>C15*D2</f>
        <v>22500000</v>
      </c>
      <c r="E15" s="11">
        <f>D16*E2</f>
        <v>1669500</v>
      </c>
      <c r="F15" s="11">
        <f>D17*F2</f>
        <v>1237500</v>
      </c>
      <c r="G15" s="11">
        <f>D18*G2</f>
        <v>120000</v>
      </c>
      <c r="H15" s="11"/>
      <c r="I15" s="11"/>
      <c r="J15" s="11"/>
      <c r="K15" s="11">
        <f t="shared" si="0"/>
        <v>3027000</v>
      </c>
      <c r="L15" s="11">
        <f>(K15*L2)</f>
        <v>302700</v>
      </c>
      <c r="M15" s="11">
        <f t="shared" si="1"/>
        <v>2724300</v>
      </c>
    </row>
    <row r="16" spans="1:13" ht="20.25" thickBot="1" x14ac:dyDescent="0.3">
      <c r="A16" s="2" t="s">
        <v>58</v>
      </c>
      <c r="B16" s="5" t="s">
        <v>73</v>
      </c>
      <c r="C16" s="9">
        <v>53000000</v>
      </c>
      <c r="D16" s="11">
        <f>C16*D2</f>
        <v>7950000</v>
      </c>
      <c r="E16" s="11">
        <f>D17*E2</f>
        <v>2362500</v>
      </c>
      <c r="F16" s="11">
        <f>D18*F2</f>
        <v>165000</v>
      </c>
      <c r="G16" s="11"/>
      <c r="H16" s="11"/>
      <c r="I16" s="11"/>
      <c r="J16" s="11"/>
      <c r="K16" s="11">
        <f t="shared" si="0"/>
        <v>2527500</v>
      </c>
      <c r="L16" s="11">
        <f>(K16*L2)</f>
        <v>252750</v>
      </c>
      <c r="M16" s="11">
        <f t="shared" si="1"/>
        <v>2274750</v>
      </c>
    </row>
    <row r="17" spans="1:13" ht="20.25" thickBot="1" x14ac:dyDescent="0.3">
      <c r="A17" s="2" t="s">
        <v>59</v>
      </c>
      <c r="B17" s="5" t="s">
        <v>74</v>
      </c>
      <c r="C17" s="9">
        <v>75000000</v>
      </c>
      <c r="D17" s="11">
        <f>C17*D2</f>
        <v>11250000</v>
      </c>
      <c r="E17" s="11">
        <f>D18*E2</f>
        <v>315000</v>
      </c>
      <c r="F17" s="11"/>
      <c r="G17" s="11"/>
      <c r="H17" s="11"/>
      <c r="I17" s="11"/>
      <c r="J17" s="11"/>
      <c r="K17" s="11">
        <f t="shared" si="0"/>
        <v>315000</v>
      </c>
      <c r="L17" s="11">
        <f>(K17*L2)</f>
        <v>31500</v>
      </c>
      <c r="M17" s="11">
        <f t="shared" si="1"/>
        <v>283500</v>
      </c>
    </row>
    <row r="18" spans="1:13" ht="20.25" thickBot="1" x14ac:dyDescent="0.3">
      <c r="A18" s="2" t="s">
        <v>60</v>
      </c>
      <c r="B18" s="5" t="s">
        <v>75</v>
      </c>
      <c r="C18" s="9">
        <v>10000000</v>
      </c>
      <c r="D18" s="11">
        <f>C18*D2</f>
        <v>1500000</v>
      </c>
      <c r="E18" s="11"/>
      <c r="F18" s="11"/>
      <c r="G18" s="11"/>
      <c r="H18" s="11"/>
      <c r="I18" s="11"/>
      <c r="J18" s="11"/>
      <c r="K18" s="11">
        <f t="shared" si="0"/>
        <v>0</v>
      </c>
      <c r="L18" s="11">
        <f>(K18*L2)</f>
        <v>0</v>
      </c>
      <c r="M18" s="11">
        <f t="shared" si="1"/>
        <v>0</v>
      </c>
    </row>
    <row r="19" spans="1:13" ht="20.25" thickBot="1" x14ac:dyDescent="0.3">
      <c r="A19" s="2" t="s">
        <v>7</v>
      </c>
      <c r="B19" s="5"/>
      <c r="C19" s="10">
        <f t="shared" ref="C19:D19" si="2">SUM(C3:C18)</f>
        <v>1111111111</v>
      </c>
      <c r="D19" s="11">
        <f t="shared" si="2"/>
        <v>166666666.65000001</v>
      </c>
      <c r="E19" s="11">
        <f t="shared" ref="E19:M19" si="3">SUM(E3:E18)</f>
        <v>34998390</v>
      </c>
      <c r="F19" s="11">
        <f t="shared" si="3"/>
        <v>18315000</v>
      </c>
      <c r="G19" s="11">
        <f t="shared" si="3"/>
        <v>13287600</v>
      </c>
      <c r="H19" s="11">
        <f t="shared" si="3"/>
        <v>9918000</v>
      </c>
      <c r="I19" s="11">
        <f t="shared" si="3"/>
        <v>4909500</v>
      </c>
      <c r="J19" s="11">
        <f t="shared" si="3"/>
        <v>3198000</v>
      </c>
      <c r="K19" s="12">
        <f t="shared" si="3"/>
        <v>84626490</v>
      </c>
      <c r="L19" s="12">
        <f t="shared" si="3"/>
        <v>8462649</v>
      </c>
      <c r="M19" s="12">
        <f t="shared" si="3"/>
        <v>76163841</v>
      </c>
    </row>
    <row r="20" spans="1:13" ht="15.75" thickBot="1" x14ac:dyDescent="0.3">
      <c r="A20" s="5"/>
      <c r="B20" s="5"/>
      <c r="C20" s="5"/>
      <c r="D20" s="6">
        <f>D19/C19</f>
        <v>0.15</v>
      </c>
      <c r="E20" s="6">
        <f>E19/D19</f>
        <v>0.20999034002099903</v>
      </c>
      <c r="F20" s="6">
        <f>F19/D19</f>
        <v>0.109890000010989</v>
      </c>
      <c r="G20" s="6">
        <f>G19/D19</f>
        <v>7.9725600007972561E-2</v>
      </c>
      <c r="H20" s="6">
        <f>H19/D19</f>
        <v>5.9508000005950801E-2</v>
      </c>
      <c r="I20" s="6">
        <f>I19/D19</f>
        <v>2.94570000029457E-2</v>
      </c>
      <c r="J20" s="6">
        <f>J19/D19</f>
        <v>1.9188000001918799E-2</v>
      </c>
      <c r="K20" s="8">
        <f>K19/C19</f>
        <v>7.616384100761639E-2</v>
      </c>
      <c r="L20" s="8">
        <f>L19/C19</f>
        <v>7.6163841007616381E-3</v>
      </c>
      <c r="M20" s="8">
        <f>M19/C19</f>
        <v>6.8547456906854751E-2</v>
      </c>
    </row>
  </sheetData>
  <mergeCells count="4">
    <mergeCell ref="A1:C2"/>
    <mergeCell ref="E1:J1"/>
    <mergeCell ref="K1:K2"/>
    <mergeCell ref="M1:M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0975-B401-4738-B915-4C631727AC03}">
  <dimension ref="A1:M20"/>
  <sheetViews>
    <sheetView zoomScale="90" zoomScaleNormal="90" workbookViewId="0">
      <selection activeCell="E2" sqref="E2:J2"/>
    </sheetView>
  </sheetViews>
  <sheetFormatPr defaultRowHeight="15" x14ac:dyDescent="0.25"/>
  <cols>
    <col min="3" max="3" width="20.85546875" bestFit="1" customWidth="1"/>
    <col min="4" max="4" width="12.42578125" bestFit="1" customWidth="1"/>
    <col min="5" max="8" width="11.42578125" bestFit="1" customWidth="1"/>
    <col min="9" max="10" width="9.85546875" bestFit="1" customWidth="1"/>
    <col min="11" max="11" width="17.85546875" bestFit="1" customWidth="1"/>
    <col min="12" max="12" width="22.28515625" bestFit="1" customWidth="1"/>
    <col min="13" max="13" width="24.5703125" bestFit="1" customWidth="1"/>
  </cols>
  <sheetData>
    <row r="1" spans="1:13" ht="20.25" thickBot="1" x14ac:dyDescent="0.3">
      <c r="A1" s="39" t="s">
        <v>39</v>
      </c>
      <c r="B1" s="39"/>
      <c r="C1" s="39"/>
      <c r="D1" s="2" t="s">
        <v>8</v>
      </c>
      <c r="E1" s="43" t="s">
        <v>117</v>
      </c>
      <c r="F1" s="43"/>
      <c r="G1" s="43"/>
      <c r="H1" s="43"/>
      <c r="I1" s="43"/>
      <c r="J1" s="43"/>
      <c r="K1" s="26" t="s">
        <v>43</v>
      </c>
      <c r="L1" s="2" t="s">
        <v>6</v>
      </c>
      <c r="M1" s="26" t="s">
        <v>44</v>
      </c>
    </row>
    <row r="2" spans="1:13" ht="20.25" thickBot="1" x14ac:dyDescent="0.3">
      <c r="A2" s="39"/>
      <c r="B2" s="39"/>
      <c r="C2" s="39"/>
      <c r="D2" s="15">
        <v>0.15</v>
      </c>
      <c r="E2" s="41">
        <v>0.2175</v>
      </c>
      <c r="F2" s="41">
        <v>0.11749999999999999</v>
      </c>
      <c r="G2" s="41">
        <v>8.7499999999999994E-2</v>
      </c>
      <c r="H2" s="41">
        <v>6.7500000000000004E-2</v>
      </c>
      <c r="I2" s="41">
        <v>3.7499999999999999E-2</v>
      </c>
      <c r="J2" s="41">
        <v>2.75E-2</v>
      </c>
      <c r="K2" s="27"/>
      <c r="L2" s="15">
        <v>0.1</v>
      </c>
      <c r="M2" s="27"/>
    </row>
    <row r="3" spans="1:13" ht="20.25" thickBot="1" x14ac:dyDescent="0.3">
      <c r="A3" s="2" t="s">
        <v>45</v>
      </c>
      <c r="B3" s="5" t="s">
        <v>76</v>
      </c>
      <c r="C3" s="9">
        <v>51111</v>
      </c>
      <c r="D3" s="11">
        <f>C3*D2</f>
        <v>7666.65</v>
      </c>
      <c r="E3" s="11">
        <f>D4*E2</f>
        <v>34582.5</v>
      </c>
      <c r="F3" s="11">
        <f>D5*F2</f>
        <v>47587.5</v>
      </c>
      <c r="G3" s="11">
        <f>D6*G2</f>
        <v>69562.5</v>
      </c>
      <c r="H3" s="11">
        <f>D7*H2</f>
        <v>111375.00000000001</v>
      </c>
      <c r="I3" s="11">
        <f>D8*I2</f>
        <v>140625</v>
      </c>
      <c r="J3" s="11">
        <f>D9*J2</f>
        <v>453750</v>
      </c>
      <c r="K3" s="11">
        <f t="shared" ref="K3:K18" si="0">SUM(E3:J3)</f>
        <v>857482.5</v>
      </c>
      <c r="L3" s="11">
        <f>(K3*L2)</f>
        <v>85748.25</v>
      </c>
      <c r="M3" s="11">
        <f t="shared" ref="M3:M18" si="1">K3-L3</f>
        <v>771734.25</v>
      </c>
    </row>
    <row r="4" spans="1:13" ht="20.25" thickBot="1" x14ac:dyDescent="0.3">
      <c r="A4" s="2" t="s">
        <v>46</v>
      </c>
      <c r="B4" s="5" t="s">
        <v>61</v>
      </c>
      <c r="C4" s="9">
        <v>1060000</v>
      </c>
      <c r="D4" s="11">
        <f>C4*D2</f>
        <v>159000</v>
      </c>
      <c r="E4" s="11">
        <f>D5*E2</f>
        <v>88087.5</v>
      </c>
      <c r="F4" s="11">
        <f>D6*F2</f>
        <v>93412.5</v>
      </c>
      <c r="G4" s="11">
        <f>D7*G2</f>
        <v>144375</v>
      </c>
      <c r="H4" s="11">
        <f>D8*H2</f>
        <v>253125.00000000003</v>
      </c>
      <c r="I4" s="11">
        <f>D9*I2</f>
        <v>618750</v>
      </c>
      <c r="J4" s="11">
        <f>D10*J2</f>
        <v>123750</v>
      </c>
      <c r="K4" s="11">
        <f t="shared" si="0"/>
        <v>1321500</v>
      </c>
      <c r="L4" s="11">
        <f>(K4*L2)</f>
        <v>132150</v>
      </c>
      <c r="M4" s="11">
        <f t="shared" si="1"/>
        <v>1189350</v>
      </c>
    </row>
    <row r="5" spans="1:13" ht="20.25" thickBot="1" x14ac:dyDescent="0.3">
      <c r="A5" s="2" t="s">
        <v>47</v>
      </c>
      <c r="B5" s="5" t="s">
        <v>62</v>
      </c>
      <c r="C5" s="9">
        <v>2700000</v>
      </c>
      <c r="D5" s="11">
        <f>C5*D2</f>
        <v>405000</v>
      </c>
      <c r="E5" s="11">
        <f>D6*E2</f>
        <v>172912.5</v>
      </c>
      <c r="F5" s="11">
        <f>D7*F2</f>
        <v>193875</v>
      </c>
      <c r="G5" s="11">
        <f>D8*G2</f>
        <v>328125</v>
      </c>
      <c r="H5" s="11">
        <f>D9*H2</f>
        <v>1113750</v>
      </c>
      <c r="I5" s="11">
        <f>D10*I2</f>
        <v>168750</v>
      </c>
      <c r="J5" s="11">
        <f>D11*J2</f>
        <v>33000</v>
      </c>
      <c r="K5" s="11">
        <f t="shared" si="0"/>
        <v>2010412.5</v>
      </c>
      <c r="L5" s="11">
        <f>(K5*L2)</f>
        <v>201041.25</v>
      </c>
      <c r="M5" s="11">
        <f t="shared" si="1"/>
        <v>1809371.25</v>
      </c>
    </row>
    <row r="6" spans="1:13" ht="20.25" thickBot="1" x14ac:dyDescent="0.3">
      <c r="A6" s="2" t="s">
        <v>48</v>
      </c>
      <c r="B6" s="5" t="s">
        <v>64</v>
      </c>
      <c r="C6" s="9">
        <v>5300000</v>
      </c>
      <c r="D6" s="11">
        <f>C6*D2</f>
        <v>795000</v>
      </c>
      <c r="E6" s="11">
        <f>D7*E2</f>
        <v>358875</v>
      </c>
      <c r="F6" s="11">
        <f>D8*F2</f>
        <v>440625</v>
      </c>
      <c r="G6" s="11">
        <f>D9*G2</f>
        <v>1443750</v>
      </c>
      <c r="H6" s="11">
        <f>D10*H2</f>
        <v>303750</v>
      </c>
      <c r="I6" s="11">
        <f>D11*I2</f>
        <v>45000</v>
      </c>
      <c r="J6" s="11">
        <f>D12*J2</f>
        <v>30937.5</v>
      </c>
      <c r="K6" s="11">
        <f t="shared" si="0"/>
        <v>2622937.5</v>
      </c>
      <c r="L6" s="11">
        <f>(K6*L2)</f>
        <v>262293.75</v>
      </c>
      <c r="M6" s="11">
        <f t="shared" si="1"/>
        <v>2360643.75</v>
      </c>
    </row>
    <row r="7" spans="1:13" ht="20.25" thickBot="1" x14ac:dyDescent="0.3">
      <c r="A7" s="2" t="s">
        <v>49</v>
      </c>
      <c r="B7" s="5" t="s">
        <v>68</v>
      </c>
      <c r="C7" s="9">
        <v>11000000</v>
      </c>
      <c r="D7" s="11">
        <f>C7*D2</f>
        <v>1650000</v>
      </c>
      <c r="E7" s="11">
        <f>D8*E2</f>
        <v>815625</v>
      </c>
      <c r="F7" s="11">
        <f>D9*F2</f>
        <v>1938750</v>
      </c>
      <c r="G7" s="11">
        <f>D10*G2</f>
        <v>393750</v>
      </c>
      <c r="H7" s="11">
        <f>D11*H2</f>
        <v>81000</v>
      </c>
      <c r="I7" s="11">
        <f>D12*I2</f>
        <v>42187.5</v>
      </c>
      <c r="J7" s="11">
        <f>D13*J2</f>
        <v>92812.5</v>
      </c>
      <c r="K7" s="11">
        <f t="shared" si="0"/>
        <v>3364125</v>
      </c>
      <c r="L7" s="11">
        <f>(K7*L2)</f>
        <v>336412.5</v>
      </c>
      <c r="M7" s="11">
        <f t="shared" si="1"/>
        <v>3027712.5</v>
      </c>
    </row>
    <row r="8" spans="1:13" ht="20.25" thickBot="1" x14ac:dyDescent="0.3">
      <c r="A8" s="2" t="s">
        <v>50</v>
      </c>
      <c r="B8" s="5" t="s">
        <v>63</v>
      </c>
      <c r="C8" s="9">
        <v>25000000</v>
      </c>
      <c r="D8" s="11">
        <f>C8*D2</f>
        <v>3750000</v>
      </c>
      <c r="E8" s="11">
        <f>D9*E2</f>
        <v>3588750</v>
      </c>
      <c r="F8" s="11">
        <f>D10*F2</f>
        <v>528750</v>
      </c>
      <c r="G8" s="11">
        <f>D11*G2</f>
        <v>105000</v>
      </c>
      <c r="H8" s="11">
        <f>D12*H2</f>
        <v>75937.5</v>
      </c>
      <c r="I8" s="11">
        <f>D13*I2</f>
        <v>126562.5</v>
      </c>
      <c r="J8" s="11">
        <f>D14*J2</f>
        <v>2475000</v>
      </c>
      <c r="K8" s="11">
        <f t="shared" si="0"/>
        <v>6900000</v>
      </c>
      <c r="L8" s="11">
        <f>(K8*L2)</f>
        <v>690000</v>
      </c>
      <c r="M8" s="11">
        <f t="shared" si="1"/>
        <v>6210000</v>
      </c>
    </row>
    <row r="9" spans="1:13" ht="20.25" thickBot="1" x14ac:dyDescent="0.3">
      <c r="A9" s="2" t="s">
        <v>51</v>
      </c>
      <c r="B9" s="5" t="s">
        <v>67</v>
      </c>
      <c r="C9" s="9">
        <v>110000000</v>
      </c>
      <c r="D9" s="11">
        <f>C9*D2</f>
        <v>16500000</v>
      </c>
      <c r="E9" s="11">
        <f>D10*E2</f>
        <v>978750</v>
      </c>
      <c r="F9" s="11">
        <f>D11*F2</f>
        <v>141000</v>
      </c>
      <c r="G9" s="11">
        <f>D12*G2</f>
        <v>98437.5</v>
      </c>
      <c r="H9" s="11">
        <f>D13*H2</f>
        <v>227812.50000000003</v>
      </c>
      <c r="I9" s="11">
        <f>D14*I2</f>
        <v>3375000</v>
      </c>
      <c r="J9" s="11">
        <f>D15*J2</f>
        <v>618750</v>
      </c>
      <c r="K9" s="11">
        <f t="shared" si="0"/>
        <v>5439750</v>
      </c>
      <c r="L9" s="11">
        <f>(K9*L2)</f>
        <v>543975</v>
      </c>
      <c r="M9" s="11">
        <f t="shared" si="1"/>
        <v>4895775</v>
      </c>
    </row>
    <row r="10" spans="1:13" ht="20.25" thickBot="1" x14ac:dyDescent="0.3">
      <c r="A10" s="2" t="s">
        <v>52</v>
      </c>
      <c r="B10" s="5" t="s">
        <v>66</v>
      </c>
      <c r="C10" s="9">
        <v>30000000</v>
      </c>
      <c r="D10" s="11">
        <f>C10*D2</f>
        <v>4500000</v>
      </c>
      <c r="E10" s="11">
        <f>D11*E2</f>
        <v>261000</v>
      </c>
      <c r="F10" s="11">
        <f>D12*F2</f>
        <v>132187.5</v>
      </c>
      <c r="G10" s="11">
        <f>D13*G2</f>
        <v>295312.5</v>
      </c>
      <c r="H10" s="11">
        <f>D14*H2</f>
        <v>6075000</v>
      </c>
      <c r="I10" s="11">
        <f>D15*I2</f>
        <v>843750</v>
      </c>
      <c r="J10" s="11">
        <f>D16*J2</f>
        <v>218625</v>
      </c>
      <c r="K10" s="11">
        <f t="shared" si="0"/>
        <v>7825875</v>
      </c>
      <c r="L10" s="11">
        <f>(K10*L2)</f>
        <v>782587.5</v>
      </c>
      <c r="M10" s="11">
        <f t="shared" si="1"/>
        <v>7043287.5</v>
      </c>
    </row>
    <row r="11" spans="1:13" ht="20.25" thickBot="1" x14ac:dyDescent="0.3">
      <c r="A11" s="2" t="s">
        <v>53</v>
      </c>
      <c r="B11" s="5" t="s">
        <v>65</v>
      </c>
      <c r="C11" s="9">
        <v>8000000</v>
      </c>
      <c r="D11" s="11">
        <f>C11*D2</f>
        <v>1200000</v>
      </c>
      <c r="E11" s="11">
        <f>D12*E2</f>
        <v>244687.5</v>
      </c>
      <c r="F11" s="11">
        <f>D13*F2</f>
        <v>396562.5</v>
      </c>
      <c r="G11" s="11">
        <f>D14*G2</f>
        <v>7874999.9999999991</v>
      </c>
      <c r="H11" s="11">
        <f>D15*H2</f>
        <v>1518750</v>
      </c>
      <c r="I11" s="11">
        <f>D16*I2</f>
        <v>298125</v>
      </c>
      <c r="J11" s="11">
        <f>D17*J2</f>
        <v>309375</v>
      </c>
      <c r="K11" s="11">
        <f t="shared" si="0"/>
        <v>10642500</v>
      </c>
      <c r="L11" s="11">
        <f>(K11*L2)</f>
        <v>1064250</v>
      </c>
      <c r="M11" s="11">
        <f t="shared" si="1"/>
        <v>9578250</v>
      </c>
    </row>
    <row r="12" spans="1:13" ht="20.25" thickBot="1" x14ac:dyDescent="0.3">
      <c r="A12" s="2" t="s">
        <v>54</v>
      </c>
      <c r="B12" s="5" t="s">
        <v>69</v>
      </c>
      <c r="C12" s="9">
        <v>7500000</v>
      </c>
      <c r="D12" s="11">
        <f>C12*D2</f>
        <v>1125000</v>
      </c>
      <c r="E12" s="11">
        <f>D13*E2</f>
        <v>734062.5</v>
      </c>
      <c r="F12" s="11">
        <f>D14*F2</f>
        <v>10575000</v>
      </c>
      <c r="G12" s="11">
        <f>D15*G2</f>
        <v>1968749.9999999998</v>
      </c>
      <c r="H12" s="11">
        <f>D16*H2</f>
        <v>536625</v>
      </c>
      <c r="I12" s="11">
        <f>D17*I2</f>
        <v>421875</v>
      </c>
      <c r="J12" s="11">
        <f>D18*J2</f>
        <v>41250</v>
      </c>
      <c r="K12" s="11">
        <f t="shared" si="0"/>
        <v>14277562.5</v>
      </c>
      <c r="L12" s="11">
        <f>(K12*L2)</f>
        <v>1427756.25</v>
      </c>
      <c r="M12" s="11">
        <f t="shared" si="1"/>
        <v>12849806.25</v>
      </c>
    </row>
    <row r="13" spans="1:13" ht="20.25" thickBot="1" x14ac:dyDescent="0.3">
      <c r="A13" s="2" t="s">
        <v>55</v>
      </c>
      <c r="B13" s="5" t="s">
        <v>70</v>
      </c>
      <c r="C13" s="9">
        <v>22500000</v>
      </c>
      <c r="D13" s="11">
        <f>C13*D2</f>
        <v>3375000</v>
      </c>
      <c r="E13" s="11">
        <f>D14*E2</f>
        <v>19575000</v>
      </c>
      <c r="F13" s="11">
        <f>D15*F2</f>
        <v>2643750</v>
      </c>
      <c r="G13" s="11">
        <f>D16*G2</f>
        <v>695625</v>
      </c>
      <c r="H13" s="11">
        <f>D17*H2</f>
        <v>759375</v>
      </c>
      <c r="I13" s="11">
        <f>D18*I2</f>
        <v>56250</v>
      </c>
      <c r="J13" s="11"/>
      <c r="K13" s="11">
        <f t="shared" si="0"/>
        <v>23730000</v>
      </c>
      <c r="L13" s="11">
        <f>(K13*L2)</f>
        <v>2373000</v>
      </c>
      <c r="M13" s="11">
        <f t="shared" si="1"/>
        <v>21357000</v>
      </c>
    </row>
    <row r="14" spans="1:13" ht="20.25" thickBot="1" x14ac:dyDescent="0.3">
      <c r="A14" s="2" t="s">
        <v>56</v>
      </c>
      <c r="B14" s="5" t="s">
        <v>71</v>
      </c>
      <c r="C14" s="9">
        <v>600000000</v>
      </c>
      <c r="D14" s="11">
        <f>C14*D2</f>
        <v>90000000</v>
      </c>
      <c r="E14" s="11">
        <f>D15*E2</f>
        <v>4893750</v>
      </c>
      <c r="F14" s="11">
        <f>D16*F2</f>
        <v>934125</v>
      </c>
      <c r="G14" s="11">
        <f>D17*G2</f>
        <v>984374.99999999988</v>
      </c>
      <c r="H14" s="11">
        <f>D18*H2</f>
        <v>101250</v>
      </c>
      <c r="I14" s="11"/>
      <c r="J14" s="11"/>
      <c r="K14" s="11">
        <f t="shared" si="0"/>
        <v>6913500</v>
      </c>
      <c r="L14" s="11">
        <f>(K14*L2)</f>
        <v>691350</v>
      </c>
      <c r="M14" s="11">
        <f t="shared" si="1"/>
        <v>6222150</v>
      </c>
    </row>
    <row r="15" spans="1:13" ht="20.25" thickBot="1" x14ac:dyDescent="0.3">
      <c r="A15" s="2" t="s">
        <v>57</v>
      </c>
      <c r="B15" s="5" t="s">
        <v>72</v>
      </c>
      <c r="C15" s="9">
        <v>150000000</v>
      </c>
      <c r="D15" s="11">
        <f>C15*D2</f>
        <v>22500000</v>
      </c>
      <c r="E15" s="11">
        <f>D16*E2</f>
        <v>1729125</v>
      </c>
      <c r="F15" s="11">
        <f>D17*F2</f>
        <v>1321875</v>
      </c>
      <c r="G15" s="11">
        <f>D18*G2</f>
        <v>131250</v>
      </c>
      <c r="H15" s="11"/>
      <c r="I15" s="11"/>
      <c r="J15" s="11"/>
      <c r="K15" s="11">
        <f t="shared" si="0"/>
        <v>3182250</v>
      </c>
      <c r="L15" s="11">
        <f>(K15*L2)</f>
        <v>318225</v>
      </c>
      <c r="M15" s="11">
        <f t="shared" si="1"/>
        <v>2864025</v>
      </c>
    </row>
    <row r="16" spans="1:13" ht="20.25" thickBot="1" x14ac:dyDescent="0.3">
      <c r="A16" s="2" t="s">
        <v>58</v>
      </c>
      <c r="B16" s="5" t="s">
        <v>73</v>
      </c>
      <c r="C16" s="9">
        <v>53000000</v>
      </c>
      <c r="D16" s="11">
        <f>C16*D2</f>
        <v>7950000</v>
      </c>
      <c r="E16" s="11">
        <f>D17*E2</f>
        <v>2446875</v>
      </c>
      <c r="F16" s="11">
        <f>D18*F2</f>
        <v>176250</v>
      </c>
      <c r="G16" s="11"/>
      <c r="H16" s="11"/>
      <c r="I16" s="11"/>
      <c r="J16" s="11"/>
      <c r="K16" s="11">
        <f t="shared" si="0"/>
        <v>2623125</v>
      </c>
      <c r="L16" s="11">
        <f>(K16*L2)</f>
        <v>262312.5</v>
      </c>
      <c r="M16" s="11">
        <f t="shared" si="1"/>
        <v>2360812.5</v>
      </c>
    </row>
    <row r="17" spans="1:13" ht="20.25" thickBot="1" x14ac:dyDescent="0.3">
      <c r="A17" s="2" t="s">
        <v>59</v>
      </c>
      <c r="B17" s="5" t="s">
        <v>74</v>
      </c>
      <c r="C17" s="9">
        <v>75000000</v>
      </c>
      <c r="D17" s="11">
        <f>C17*D2</f>
        <v>11250000</v>
      </c>
      <c r="E17" s="11">
        <f>D18*E2</f>
        <v>326250</v>
      </c>
      <c r="F17" s="11"/>
      <c r="G17" s="11"/>
      <c r="H17" s="11"/>
      <c r="I17" s="11"/>
      <c r="J17" s="11"/>
      <c r="K17" s="11">
        <f t="shared" si="0"/>
        <v>326250</v>
      </c>
      <c r="L17" s="11">
        <f>(K17*L2)</f>
        <v>32625</v>
      </c>
      <c r="M17" s="11">
        <f t="shared" si="1"/>
        <v>293625</v>
      </c>
    </row>
    <row r="18" spans="1:13" ht="20.25" thickBot="1" x14ac:dyDescent="0.3">
      <c r="A18" s="2" t="s">
        <v>60</v>
      </c>
      <c r="B18" s="5" t="s">
        <v>75</v>
      </c>
      <c r="C18" s="9">
        <v>10000000</v>
      </c>
      <c r="D18" s="11">
        <f>C18*D2</f>
        <v>1500000</v>
      </c>
      <c r="E18" s="11"/>
      <c r="F18" s="11"/>
      <c r="G18" s="11"/>
      <c r="H18" s="11"/>
      <c r="I18" s="11"/>
      <c r="J18" s="11"/>
      <c r="K18" s="11">
        <f t="shared" si="0"/>
        <v>0</v>
      </c>
      <c r="L18" s="11">
        <f>(K18*L2)</f>
        <v>0</v>
      </c>
      <c r="M18" s="11">
        <f t="shared" si="1"/>
        <v>0</v>
      </c>
    </row>
    <row r="19" spans="1:13" ht="20.25" thickBot="1" x14ac:dyDescent="0.3">
      <c r="A19" s="2" t="s">
        <v>7</v>
      </c>
      <c r="B19" s="5"/>
      <c r="C19" s="10">
        <f t="shared" ref="C19:D19" si="2">SUM(C3:C18)</f>
        <v>1111111111</v>
      </c>
      <c r="D19" s="11">
        <f t="shared" si="2"/>
        <v>166666666.65000001</v>
      </c>
      <c r="E19" s="11">
        <f t="shared" ref="E19:M19" si="3">SUM(E3:E18)</f>
        <v>36248332.5</v>
      </c>
      <c r="F19" s="11">
        <f t="shared" si="3"/>
        <v>19563750</v>
      </c>
      <c r="G19" s="11">
        <f t="shared" si="3"/>
        <v>14533312.5</v>
      </c>
      <c r="H19" s="11">
        <f t="shared" si="3"/>
        <v>11157750</v>
      </c>
      <c r="I19" s="11">
        <f t="shared" si="3"/>
        <v>6136875</v>
      </c>
      <c r="J19" s="11">
        <f t="shared" si="3"/>
        <v>4397250</v>
      </c>
      <c r="K19" s="12">
        <f t="shared" si="3"/>
        <v>92037270</v>
      </c>
      <c r="L19" s="12">
        <f t="shared" si="3"/>
        <v>9203727</v>
      </c>
      <c r="M19" s="12">
        <f t="shared" si="3"/>
        <v>82833543</v>
      </c>
    </row>
    <row r="20" spans="1:13" ht="15.75" thickBot="1" x14ac:dyDescent="0.3">
      <c r="A20" s="5"/>
      <c r="B20" s="5"/>
      <c r="C20" s="5"/>
      <c r="D20" s="6">
        <f>D19/C19</f>
        <v>0.15</v>
      </c>
      <c r="E20" s="7">
        <f>E19/D19</f>
        <v>0.21748999502174898</v>
      </c>
      <c r="F20" s="7">
        <f>F19/D19</f>
        <v>0.11738250001173825</v>
      </c>
      <c r="G20" s="7">
        <f>G19/D19</f>
        <v>8.7199875008719979E-2</v>
      </c>
      <c r="H20" s="7">
        <f>H19/D19</f>
        <v>6.6946500006694651E-2</v>
      </c>
      <c r="I20" s="7">
        <f>I19/D19</f>
        <v>3.6821250003682124E-2</v>
      </c>
      <c r="J20" s="7">
        <f>J19/D19</f>
        <v>2.6383500002638349E-2</v>
      </c>
      <c r="K20" s="42">
        <f>K19/C19</f>
        <v>8.2833543008283356E-2</v>
      </c>
      <c r="L20" s="42">
        <f>L19/C19</f>
        <v>8.2833543008283359E-3</v>
      </c>
      <c r="M20" s="42">
        <f>M19/C19</f>
        <v>7.4550188707455015E-2</v>
      </c>
    </row>
  </sheetData>
  <mergeCells count="4">
    <mergeCell ref="A1:C2"/>
    <mergeCell ref="E1:J1"/>
    <mergeCell ref="K1:K2"/>
    <mergeCell ref="M1:M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65F6-279B-4FE6-90DA-306027D73D64}">
  <dimension ref="A1:M20"/>
  <sheetViews>
    <sheetView zoomScale="90" zoomScaleNormal="90" workbookViewId="0">
      <selection activeCell="E2" sqref="E2:J2"/>
    </sheetView>
  </sheetViews>
  <sheetFormatPr defaultRowHeight="15" x14ac:dyDescent="0.25"/>
  <cols>
    <col min="3" max="3" width="20.85546875" bestFit="1" customWidth="1"/>
    <col min="4" max="4" width="12.42578125" bestFit="1" customWidth="1"/>
    <col min="5" max="8" width="11.42578125" bestFit="1" customWidth="1"/>
    <col min="9" max="10" width="9.85546875" bestFit="1" customWidth="1"/>
    <col min="11" max="11" width="17.85546875" bestFit="1" customWidth="1"/>
    <col min="12" max="12" width="22.28515625" bestFit="1" customWidth="1"/>
    <col min="13" max="13" width="24.5703125" bestFit="1" customWidth="1"/>
  </cols>
  <sheetData>
    <row r="1" spans="1:13" ht="20.25" thickBot="1" x14ac:dyDescent="0.3">
      <c r="A1" s="39" t="s">
        <v>39</v>
      </c>
      <c r="B1" s="39"/>
      <c r="C1" s="39"/>
      <c r="D1" s="2" t="s">
        <v>8</v>
      </c>
      <c r="E1" s="43" t="s">
        <v>118</v>
      </c>
      <c r="F1" s="43"/>
      <c r="G1" s="43"/>
      <c r="H1" s="43"/>
      <c r="I1" s="43"/>
      <c r="J1" s="43"/>
      <c r="K1" s="26" t="s">
        <v>43</v>
      </c>
      <c r="L1" s="2" t="s">
        <v>6</v>
      </c>
      <c r="M1" s="26" t="s">
        <v>44</v>
      </c>
    </row>
    <row r="2" spans="1:13" ht="20.25" thickBot="1" x14ac:dyDescent="0.3">
      <c r="A2" s="39"/>
      <c r="B2" s="39"/>
      <c r="C2" s="39"/>
      <c r="D2" s="15">
        <v>0.15</v>
      </c>
      <c r="E2" s="41">
        <v>0.2225</v>
      </c>
      <c r="F2" s="41">
        <v>0.1225</v>
      </c>
      <c r="G2" s="41">
        <v>9.2499999999999999E-2</v>
      </c>
      <c r="H2" s="41">
        <v>7.2499999999999995E-2</v>
      </c>
      <c r="I2" s="41">
        <v>4.2500000000000003E-2</v>
      </c>
      <c r="J2" s="41">
        <v>3.2500000000000001E-2</v>
      </c>
      <c r="K2" s="27"/>
      <c r="L2" s="15">
        <v>0.1</v>
      </c>
      <c r="M2" s="27"/>
    </row>
    <row r="3" spans="1:13" ht="20.25" thickBot="1" x14ac:dyDescent="0.3">
      <c r="A3" s="2" t="s">
        <v>45</v>
      </c>
      <c r="B3" s="5" t="s">
        <v>76</v>
      </c>
      <c r="C3" s="9">
        <v>51111</v>
      </c>
      <c r="D3" s="11">
        <f>C3*D2</f>
        <v>7666.65</v>
      </c>
      <c r="E3" s="11">
        <f>D4*E2</f>
        <v>35377.5</v>
      </c>
      <c r="F3" s="11">
        <f>D5*F2</f>
        <v>49612.5</v>
      </c>
      <c r="G3" s="11">
        <f>D6*G2</f>
        <v>73537.5</v>
      </c>
      <c r="H3" s="11">
        <f>D7*H2</f>
        <v>119624.99999999999</v>
      </c>
      <c r="I3" s="11">
        <f>D8*I2</f>
        <v>159375</v>
      </c>
      <c r="J3" s="11">
        <f>D9*J2</f>
        <v>536250</v>
      </c>
      <c r="K3" s="11">
        <f t="shared" ref="K3:K18" si="0">SUM(E3:J3)</f>
        <v>973777.5</v>
      </c>
      <c r="L3" s="11">
        <f>(K3*L2)</f>
        <v>97377.75</v>
      </c>
      <c r="M3" s="11">
        <f t="shared" ref="M3:M18" si="1">K3-L3</f>
        <v>876399.75</v>
      </c>
    </row>
    <row r="4" spans="1:13" ht="20.25" thickBot="1" x14ac:dyDescent="0.3">
      <c r="A4" s="2" t="s">
        <v>46</v>
      </c>
      <c r="B4" s="5" t="s">
        <v>61</v>
      </c>
      <c r="C4" s="9">
        <v>1060000</v>
      </c>
      <c r="D4" s="11">
        <f>C4*D2</f>
        <v>159000</v>
      </c>
      <c r="E4" s="11">
        <f>D5*E2</f>
        <v>90112.5</v>
      </c>
      <c r="F4" s="11">
        <f>D6*F2</f>
        <v>97387.5</v>
      </c>
      <c r="G4" s="11">
        <f>D7*G2</f>
        <v>152625</v>
      </c>
      <c r="H4" s="11">
        <f>D8*H2</f>
        <v>271875</v>
      </c>
      <c r="I4" s="11">
        <f>D9*I2</f>
        <v>701250</v>
      </c>
      <c r="J4" s="11">
        <f>D10*J2</f>
        <v>146250</v>
      </c>
      <c r="K4" s="11">
        <f t="shared" si="0"/>
        <v>1459500</v>
      </c>
      <c r="L4" s="11">
        <f>(K4*L2)</f>
        <v>145950</v>
      </c>
      <c r="M4" s="11">
        <f t="shared" si="1"/>
        <v>1313550</v>
      </c>
    </row>
    <row r="5" spans="1:13" ht="20.25" thickBot="1" x14ac:dyDescent="0.3">
      <c r="A5" s="2" t="s">
        <v>47</v>
      </c>
      <c r="B5" s="5" t="s">
        <v>62</v>
      </c>
      <c r="C5" s="9">
        <v>2700000</v>
      </c>
      <c r="D5" s="11">
        <f>C5*D2</f>
        <v>405000</v>
      </c>
      <c r="E5" s="11">
        <f>D6*E2</f>
        <v>176887.5</v>
      </c>
      <c r="F5" s="11">
        <f>D7*F2</f>
        <v>202125</v>
      </c>
      <c r="G5" s="11">
        <f>D8*G2</f>
        <v>346875</v>
      </c>
      <c r="H5" s="11">
        <f>D9*H2</f>
        <v>1196250</v>
      </c>
      <c r="I5" s="11">
        <f>D10*I2</f>
        <v>191250</v>
      </c>
      <c r="J5" s="11">
        <f>D11*J2</f>
        <v>39000</v>
      </c>
      <c r="K5" s="11">
        <f t="shared" si="0"/>
        <v>2152387.5</v>
      </c>
      <c r="L5" s="11">
        <f>(K5*L2)</f>
        <v>215238.75</v>
      </c>
      <c r="M5" s="11">
        <f t="shared" si="1"/>
        <v>1937148.75</v>
      </c>
    </row>
    <row r="6" spans="1:13" ht="20.25" thickBot="1" x14ac:dyDescent="0.3">
      <c r="A6" s="2" t="s">
        <v>48</v>
      </c>
      <c r="B6" s="5" t="s">
        <v>64</v>
      </c>
      <c r="C6" s="9">
        <v>5300000</v>
      </c>
      <c r="D6" s="11">
        <f>C6*D2</f>
        <v>795000</v>
      </c>
      <c r="E6" s="11">
        <f>D7*E2</f>
        <v>367125</v>
      </c>
      <c r="F6" s="11">
        <f>D8*F2</f>
        <v>459375</v>
      </c>
      <c r="G6" s="11">
        <f>D9*G2</f>
        <v>1526250</v>
      </c>
      <c r="H6" s="11">
        <f>D10*H2</f>
        <v>326250</v>
      </c>
      <c r="I6" s="11">
        <f>D11*I2</f>
        <v>51000.000000000007</v>
      </c>
      <c r="J6" s="11">
        <f>D12*J2</f>
        <v>36562.5</v>
      </c>
      <c r="K6" s="11">
        <f t="shared" si="0"/>
        <v>2766562.5</v>
      </c>
      <c r="L6" s="11">
        <f>(K6*L2)</f>
        <v>276656.25</v>
      </c>
      <c r="M6" s="11">
        <f t="shared" si="1"/>
        <v>2489906.25</v>
      </c>
    </row>
    <row r="7" spans="1:13" ht="20.25" thickBot="1" x14ac:dyDescent="0.3">
      <c r="A7" s="2" t="s">
        <v>49</v>
      </c>
      <c r="B7" s="5" t="s">
        <v>68</v>
      </c>
      <c r="C7" s="9">
        <v>11000000</v>
      </c>
      <c r="D7" s="11">
        <f>C7*D2</f>
        <v>1650000</v>
      </c>
      <c r="E7" s="11">
        <f>D8*E2</f>
        <v>834375</v>
      </c>
      <c r="F7" s="11">
        <f>D9*F2</f>
        <v>2021250</v>
      </c>
      <c r="G7" s="11">
        <f>D10*G2</f>
        <v>416250</v>
      </c>
      <c r="H7" s="11">
        <f>D11*H2</f>
        <v>87000</v>
      </c>
      <c r="I7" s="11">
        <f>D12*I2</f>
        <v>47812.5</v>
      </c>
      <c r="J7" s="11">
        <f>D13*J2</f>
        <v>109687.5</v>
      </c>
      <c r="K7" s="11">
        <f t="shared" si="0"/>
        <v>3516375</v>
      </c>
      <c r="L7" s="11">
        <f>(K7*L2)</f>
        <v>351637.5</v>
      </c>
      <c r="M7" s="11">
        <f t="shared" si="1"/>
        <v>3164737.5</v>
      </c>
    </row>
    <row r="8" spans="1:13" ht="20.25" thickBot="1" x14ac:dyDescent="0.3">
      <c r="A8" s="2" t="s">
        <v>50</v>
      </c>
      <c r="B8" s="5" t="s">
        <v>63</v>
      </c>
      <c r="C8" s="9">
        <v>25000000</v>
      </c>
      <c r="D8" s="11">
        <f>C8*D2</f>
        <v>3750000</v>
      </c>
      <c r="E8" s="11">
        <f>D9*E2</f>
        <v>3671250</v>
      </c>
      <c r="F8" s="11">
        <f>D10*F2</f>
        <v>551250</v>
      </c>
      <c r="G8" s="11">
        <f>D11*G2</f>
        <v>111000</v>
      </c>
      <c r="H8" s="11">
        <f>D12*H2</f>
        <v>81562.5</v>
      </c>
      <c r="I8" s="11">
        <f>D13*I2</f>
        <v>143437.5</v>
      </c>
      <c r="J8" s="11">
        <f>D14*J2</f>
        <v>2925000</v>
      </c>
      <c r="K8" s="11">
        <f t="shared" si="0"/>
        <v>7483500</v>
      </c>
      <c r="L8" s="11">
        <f>(K8*L2)</f>
        <v>748350</v>
      </c>
      <c r="M8" s="11">
        <f t="shared" si="1"/>
        <v>6735150</v>
      </c>
    </row>
    <row r="9" spans="1:13" ht="20.25" thickBot="1" x14ac:dyDescent="0.3">
      <c r="A9" s="2" t="s">
        <v>51</v>
      </c>
      <c r="B9" s="5" t="s">
        <v>67</v>
      </c>
      <c r="C9" s="9">
        <v>110000000</v>
      </c>
      <c r="D9" s="11">
        <f>C9*D2</f>
        <v>16500000</v>
      </c>
      <c r="E9" s="11">
        <f>D10*E2</f>
        <v>1001250</v>
      </c>
      <c r="F9" s="11">
        <f>D11*F2</f>
        <v>147000</v>
      </c>
      <c r="G9" s="11">
        <f>D12*G2</f>
        <v>104062.5</v>
      </c>
      <c r="H9" s="11">
        <f>D13*H2</f>
        <v>244687.49999999997</v>
      </c>
      <c r="I9" s="11">
        <f>D14*I2</f>
        <v>3825000.0000000005</v>
      </c>
      <c r="J9" s="11">
        <f>D15*J2</f>
        <v>731250</v>
      </c>
      <c r="K9" s="11">
        <f t="shared" si="0"/>
        <v>6053250</v>
      </c>
      <c r="L9" s="11">
        <f>(K9*L2)</f>
        <v>605325</v>
      </c>
      <c r="M9" s="11">
        <f t="shared" si="1"/>
        <v>5447925</v>
      </c>
    </row>
    <row r="10" spans="1:13" ht="20.25" thickBot="1" x14ac:dyDescent="0.3">
      <c r="A10" s="2" t="s">
        <v>52</v>
      </c>
      <c r="B10" s="5" t="s">
        <v>66</v>
      </c>
      <c r="C10" s="9">
        <v>30000000</v>
      </c>
      <c r="D10" s="11">
        <f>C10*D2</f>
        <v>4500000</v>
      </c>
      <c r="E10" s="11">
        <f>D11*E2</f>
        <v>267000</v>
      </c>
      <c r="F10" s="11">
        <f>D12*F2</f>
        <v>137812.5</v>
      </c>
      <c r="G10" s="11">
        <f>D13*G2</f>
        <v>312187.5</v>
      </c>
      <c r="H10" s="11">
        <f>D14*H2</f>
        <v>6525000</v>
      </c>
      <c r="I10" s="11">
        <f>D15*I2</f>
        <v>956250.00000000012</v>
      </c>
      <c r="J10" s="11">
        <f>D16*J2</f>
        <v>258375</v>
      </c>
      <c r="K10" s="11">
        <f t="shared" si="0"/>
        <v>8456625</v>
      </c>
      <c r="L10" s="11">
        <f>(K10*L2)</f>
        <v>845662.5</v>
      </c>
      <c r="M10" s="11">
        <f t="shared" si="1"/>
        <v>7610962.5</v>
      </c>
    </row>
    <row r="11" spans="1:13" ht="20.25" thickBot="1" x14ac:dyDescent="0.3">
      <c r="A11" s="2" t="s">
        <v>53</v>
      </c>
      <c r="B11" s="5" t="s">
        <v>65</v>
      </c>
      <c r="C11" s="9">
        <v>8000000</v>
      </c>
      <c r="D11" s="11">
        <f>C11*D2</f>
        <v>1200000</v>
      </c>
      <c r="E11" s="11">
        <f>D12*E2</f>
        <v>250312.5</v>
      </c>
      <c r="F11" s="11">
        <f>D13*F2</f>
        <v>413437.5</v>
      </c>
      <c r="G11" s="11">
        <f>D14*G2</f>
        <v>8325000</v>
      </c>
      <c r="H11" s="11">
        <f>D15*H2</f>
        <v>1631250</v>
      </c>
      <c r="I11" s="11">
        <f>D16*I2</f>
        <v>337875</v>
      </c>
      <c r="J11" s="11">
        <f>D17*J2</f>
        <v>365625</v>
      </c>
      <c r="K11" s="11">
        <f t="shared" si="0"/>
        <v>11323500</v>
      </c>
      <c r="L11" s="11">
        <f>(K11*L2)</f>
        <v>1132350</v>
      </c>
      <c r="M11" s="11">
        <f t="shared" si="1"/>
        <v>10191150</v>
      </c>
    </row>
    <row r="12" spans="1:13" ht="20.25" thickBot="1" x14ac:dyDescent="0.3">
      <c r="A12" s="2" t="s">
        <v>54</v>
      </c>
      <c r="B12" s="5" t="s">
        <v>69</v>
      </c>
      <c r="C12" s="9">
        <v>7500000</v>
      </c>
      <c r="D12" s="11">
        <f>C12*D2</f>
        <v>1125000</v>
      </c>
      <c r="E12" s="11">
        <f>D13*E2</f>
        <v>750937.5</v>
      </c>
      <c r="F12" s="11">
        <f>D14*F2</f>
        <v>11025000</v>
      </c>
      <c r="G12" s="11">
        <f>D15*G2</f>
        <v>2081250</v>
      </c>
      <c r="H12" s="11">
        <f>D16*H2</f>
        <v>576375</v>
      </c>
      <c r="I12" s="11">
        <f>D17*I2</f>
        <v>478125.00000000006</v>
      </c>
      <c r="J12" s="11">
        <f>D18*J2</f>
        <v>48750</v>
      </c>
      <c r="K12" s="11">
        <f t="shared" si="0"/>
        <v>14960437.5</v>
      </c>
      <c r="L12" s="11">
        <f>(K12*L2)</f>
        <v>1496043.75</v>
      </c>
      <c r="M12" s="11">
        <f t="shared" si="1"/>
        <v>13464393.75</v>
      </c>
    </row>
    <row r="13" spans="1:13" ht="20.25" thickBot="1" x14ac:dyDescent="0.3">
      <c r="A13" s="2" t="s">
        <v>55</v>
      </c>
      <c r="B13" s="5" t="s">
        <v>70</v>
      </c>
      <c r="C13" s="9">
        <v>22500000</v>
      </c>
      <c r="D13" s="11">
        <f>C13*D2</f>
        <v>3375000</v>
      </c>
      <c r="E13" s="11">
        <f>D14*E2</f>
        <v>20025000</v>
      </c>
      <c r="F13" s="11">
        <f>D15*F2</f>
        <v>2756250</v>
      </c>
      <c r="G13" s="11">
        <f>D16*G2</f>
        <v>735375</v>
      </c>
      <c r="H13" s="11">
        <f>D17*H2</f>
        <v>815625</v>
      </c>
      <c r="I13" s="11">
        <f>D18*I2</f>
        <v>63750.000000000007</v>
      </c>
      <c r="J13" s="11"/>
      <c r="K13" s="11">
        <f t="shared" si="0"/>
        <v>24396000</v>
      </c>
      <c r="L13" s="11">
        <f>(K13*L2)</f>
        <v>2439600</v>
      </c>
      <c r="M13" s="11">
        <f t="shared" si="1"/>
        <v>21956400</v>
      </c>
    </row>
    <row r="14" spans="1:13" ht="20.25" thickBot="1" x14ac:dyDescent="0.3">
      <c r="A14" s="2" t="s">
        <v>56</v>
      </c>
      <c r="B14" s="5" t="s">
        <v>71</v>
      </c>
      <c r="C14" s="9">
        <v>600000000</v>
      </c>
      <c r="D14" s="11">
        <f>C14*D2</f>
        <v>90000000</v>
      </c>
      <c r="E14" s="11">
        <f>D15*E2</f>
        <v>5006250</v>
      </c>
      <c r="F14" s="11">
        <f>D16*F2</f>
        <v>973875</v>
      </c>
      <c r="G14" s="11">
        <f>D17*G2</f>
        <v>1040625</v>
      </c>
      <c r="H14" s="11">
        <f>D18*H2</f>
        <v>108749.99999999999</v>
      </c>
      <c r="I14" s="11"/>
      <c r="J14" s="11"/>
      <c r="K14" s="11">
        <f t="shared" si="0"/>
        <v>7129500</v>
      </c>
      <c r="L14" s="11">
        <f>(K14*L2)</f>
        <v>712950</v>
      </c>
      <c r="M14" s="11">
        <f t="shared" si="1"/>
        <v>6416550</v>
      </c>
    </row>
    <row r="15" spans="1:13" ht="20.25" thickBot="1" x14ac:dyDescent="0.3">
      <c r="A15" s="2" t="s">
        <v>57</v>
      </c>
      <c r="B15" s="5" t="s">
        <v>72</v>
      </c>
      <c r="C15" s="9">
        <v>150000000</v>
      </c>
      <c r="D15" s="11">
        <f>C15*D2</f>
        <v>22500000</v>
      </c>
      <c r="E15" s="11">
        <f>D16*E2</f>
        <v>1768875</v>
      </c>
      <c r="F15" s="11">
        <f>D17*F2</f>
        <v>1378125</v>
      </c>
      <c r="G15" s="11">
        <f>D18*G2</f>
        <v>138750</v>
      </c>
      <c r="H15" s="11"/>
      <c r="I15" s="11"/>
      <c r="J15" s="11"/>
      <c r="K15" s="11">
        <f t="shared" si="0"/>
        <v>3285750</v>
      </c>
      <c r="L15" s="11">
        <f>(K15*L2)</f>
        <v>328575</v>
      </c>
      <c r="M15" s="11">
        <f t="shared" si="1"/>
        <v>2957175</v>
      </c>
    </row>
    <row r="16" spans="1:13" ht="20.25" thickBot="1" x14ac:dyDescent="0.3">
      <c r="A16" s="2" t="s">
        <v>58</v>
      </c>
      <c r="B16" s="5" t="s">
        <v>73</v>
      </c>
      <c r="C16" s="9">
        <v>53000000</v>
      </c>
      <c r="D16" s="11">
        <f>C16*D2</f>
        <v>7950000</v>
      </c>
      <c r="E16" s="11">
        <f>D17*E2</f>
        <v>2503125</v>
      </c>
      <c r="F16" s="11">
        <f>D18*F2</f>
        <v>183750</v>
      </c>
      <c r="G16" s="11"/>
      <c r="H16" s="11"/>
      <c r="I16" s="11"/>
      <c r="J16" s="11"/>
      <c r="K16" s="11">
        <f t="shared" si="0"/>
        <v>2686875</v>
      </c>
      <c r="L16" s="11">
        <f>(K16*L2)</f>
        <v>268687.5</v>
      </c>
      <c r="M16" s="11">
        <f t="shared" si="1"/>
        <v>2418187.5</v>
      </c>
    </row>
    <row r="17" spans="1:13" ht="20.25" thickBot="1" x14ac:dyDescent="0.3">
      <c r="A17" s="2" t="s">
        <v>59</v>
      </c>
      <c r="B17" s="5" t="s">
        <v>74</v>
      </c>
      <c r="C17" s="9">
        <v>75000000</v>
      </c>
      <c r="D17" s="11">
        <f>C17*D2</f>
        <v>11250000</v>
      </c>
      <c r="E17" s="11">
        <f>D18*E2</f>
        <v>333750</v>
      </c>
      <c r="F17" s="11"/>
      <c r="G17" s="11"/>
      <c r="H17" s="11"/>
      <c r="I17" s="11"/>
      <c r="J17" s="11"/>
      <c r="K17" s="11">
        <f t="shared" si="0"/>
        <v>333750</v>
      </c>
      <c r="L17" s="11">
        <f>(K17*L2)</f>
        <v>33375</v>
      </c>
      <c r="M17" s="11">
        <f t="shared" si="1"/>
        <v>300375</v>
      </c>
    </row>
    <row r="18" spans="1:13" ht="20.25" thickBot="1" x14ac:dyDescent="0.3">
      <c r="A18" s="2" t="s">
        <v>60</v>
      </c>
      <c r="B18" s="5" t="s">
        <v>75</v>
      </c>
      <c r="C18" s="9">
        <v>10000000</v>
      </c>
      <c r="D18" s="11">
        <f>C18*D2</f>
        <v>1500000</v>
      </c>
      <c r="E18" s="11"/>
      <c r="F18" s="11"/>
      <c r="G18" s="11"/>
      <c r="H18" s="11"/>
      <c r="I18" s="11"/>
      <c r="J18" s="11"/>
      <c r="K18" s="11">
        <f t="shared" si="0"/>
        <v>0</v>
      </c>
      <c r="L18" s="11">
        <f>(K18*L2)</f>
        <v>0</v>
      </c>
      <c r="M18" s="11">
        <f t="shared" si="1"/>
        <v>0</v>
      </c>
    </row>
    <row r="19" spans="1:13" ht="20.25" thickBot="1" x14ac:dyDescent="0.3">
      <c r="A19" s="2" t="s">
        <v>7</v>
      </c>
      <c r="B19" s="5"/>
      <c r="C19" s="10">
        <f t="shared" ref="C19:D19" si="2">SUM(C3:C18)</f>
        <v>1111111111</v>
      </c>
      <c r="D19" s="11">
        <f t="shared" si="2"/>
        <v>166666666.65000001</v>
      </c>
      <c r="E19" s="11">
        <f t="shared" ref="E19:M19" si="3">SUM(E3:E18)</f>
        <v>37081627.5</v>
      </c>
      <c r="F19" s="11">
        <f t="shared" si="3"/>
        <v>20396250</v>
      </c>
      <c r="G19" s="11">
        <f t="shared" si="3"/>
        <v>15363787.5</v>
      </c>
      <c r="H19" s="11">
        <f t="shared" si="3"/>
        <v>11984250</v>
      </c>
      <c r="I19" s="11">
        <f t="shared" si="3"/>
        <v>6955125</v>
      </c>
      <c r="J19" s="11">
        <f t="shared" si="3"/>
        <v>5196750</v>
      </c>
      <c r="K19" s="12">
        <f t="shared" si="3"/>
        <v>96977790</v>
      </c>
      <c r="L19" s="12">
        <f t="shared" si="3"/>
        <v>9697779</v>
      </c>
      <c r="M19" s="12">
        <f t="shared" si="3"/>
        <v>87280011</v>
      </c>
    </row>
    <row r="20" spans="1:13" ht="15.75" thickBot="1" x14ac:dyDescent="0.3">
      <c r="A20" s="5"/>
      <c r="B20" s="5"/>
      <c r="C20" s="5"/>
      <c r="D20" s="6">
        <f>D19/C19</f>
        <v>0.15</v>
      </c>
      <c r="E20" s="7">
        <f>E19/D19</f>
        <v>0.22248976502224896</v>
      </c>
      <c r="F20" s="7">
        <f>F19/D19</f>
        <v>0.12237750001223774</v>
      </c>
      <c r="G20" s="7">
        <f>G19/D19</f>
        <v>9.2182725009218272E-2</v>
      </c>
      <c r="H20" s="7">
        <f>H19/D19</f>
        <v>7.1905500007190551E-2</v>
      </c>
      <c r="I20" s="7">
        <f>I19/D19</f>
        <v>4.1730750004173076E-2</v>
      </c>
      <c r="J20" s="7">
        <f>J19/D19</f>
        <v>3.1180500003118047E-2</v>
      </c>
      <c r="K20" s="42">
        <f>K19/C19</f>
        <v>8.7280011008727995E-2</v>
      </c>
      <c r="L20" s="42">
        <f>L19/C19</f>
        <v>8.7280011008728006E-3</v>
      </c>
      <c r="M20" s="42">
        <f>M19/C19</f>
        <v>7.85520099078552E-2</v>
      </c>
    </row>
  </sheetData>
  <mergeCells count="4">
    <mergeCell ref="A1:C2"/>
    <mergeCell ref="E1:J1"/>
    <mergeCell ref="K1:K2"/>
    <mergeCell ref="M1:M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9679-8D8C-450F-A792-CF66B812DFEA}">
  <dimension ref="A1:M20"/>
  <sheetViews>
    <sheetView zoomScale="90" zoomScaleNormal="90" workbookViewId="0">
      <selection activeCell="E2" sqref="E2:J2"/>
    </sheetView>
  </sheetViews>
  <sheetFormatPr defaultRowHeight="15" x14ac:dyDescent="0.25"/>
  <cols>
    <col min="2" max="2" width="8.85546875" bestFit="1" customWidth="1"/>
    <col min="3" max="3" width="20.85546875" bestFit="1" customWidth="1"/>
    <col min="4" max="4" width="12.42578125" bestFit="1" customWidth="1"/>
    <col min="5" max="8" width="11.42578125" bestFit="1" customWidth="1"/>
    <col min="9" max="10" width="9.85546875" bestFit="1" customWidth="1"/>
    <col min="11" max="11" width="18" bestFit="1" customWidth="1"/>
    <col min="12" max="12" width="22.28515625" bestFit="1" customWidth="1"/>
    <col min="13" max="13" width="25" bestFit="1" customWidth="1"/>
  </cols>
  <sheetData>
    <row r="1" spans="1:13" ht="20.25" thickBot="1" x14ac:dyDescent="0.3">
      <c r="A1" s="39" t="s">
        <v>39</v>
      </c>
      <c r="B1" s="39"/>
      <c r="C1" s="39"/>
      <c r="D1" s="2" t="s">
        <v>8</v>
      </c>
      <c r="E1" s="43" t="s">
        <v>119</v>
      </c>
      <c r="F1" s="43"/>
      <c r="G1" s="43"/>
      <c r="H1" s="43"/>
      <c r="I1" s="43"/>
      <c r="J1" s="43"/>
      <c r="K1" s="26" t="s">
        <v>43</v>
      </c>
      <c r="L1" s="2" t="s">
        <v>6</v>
      </c>
      <c r="M1" s="26" t="s">
        <v>44</v>
      </c>
    </row>
    <row r="2" spans="1:13" ht="20.25" thickBot="1" x14ac:dyDescent="0.3">
      <c r="A2" s="39"/>
      <c r="B2" s="39"/>
      <c r="C2" s="39"/>
      <c r="D2" s="15">
        <v>0.15</v>
      </c>
      <c r="E2" s="41">
        <v>0.22600000000000001</v>
      </c>
      <c r="F2" s="41">
        <v>0.126</v>
      </c>
      <c r="G2" s="41">
        <v>9.6000000000000002E-2</v>
      </c>
      <c r="H2" s="41">
        <v>7.5999999999999998E-2</v>
      </c>
      <c r="I2" s="41">
        <v>4.5999999999999999E-2</v>
      </c>
      <c r="J2" s="41">
        <v>3.5999999999999997E-2</v>
      </c>
      <c r="K2" s="27"/>
      <c r="L2" s="15">
        <v>0.1</v>
      </c>
      <c r="M2" s="27"/>
    </row>
    <row r="3" spans="1:13" ht="20.25" thickBot="1" x14ac:dyDescent="0.3">
      <c r="A3" s="2" t="s">
        <v>45</v>
      </c>
      <c r="B3" s="5" t="s">
        <v>76</v>
      </c>
      <c r="C3" s="9">
        <v>51111</v>
      </c>
      <c r="D3" s="11">
        <f>C3*D2</f>
        <v>7666.65</v>
      </c>
      <c r="E3" s="11">
        <f>D4*E2</f>
        <v>35934</v>
      </c>
      <c r="F3" s="11">
        <f>D5*F2</f>
        <v>51030</v>
      </c>
      <c r="G3" s="11">
        <f>D6*G2</f>
        <v>76320</v>
      </c>
      <c r="H3" s="11">
        <f>D7*H2</f>
        <v>125400</v>
      </c>
      <c r="I3" s="11">
        <f>D8*I2</f>
        <v>172500</v>
      </c>
      <c r="J3" s="11">
        <f>D9*J2</f>
        <v>594000</v>
      </c>
      <c r="K3" s="11">
        <f t="shared" ref="K3:K18" si="0">SUM(E3:J3)</f>
        <v>1055184</v>
      </c>
      <c r="L3" s="11">
        <f>(K3*L2)</f>
        <v>105518.40000000001</v>
      </c>
      <c r="M3" s="11">
        <f t="shared" ref="M3:M18" si="1">K3-L3</f>
        <v>949665.6</v>
      </c>
    </row>
    <row r="4" spans="1:13" ht="20.25" thickBot="1" x14ac:dyDescent="0.3">
      <c r="A4" s="2" t="s">
        <v>46</v>
      </c>
      <c r="B4" s="5" t="s">
        <v>61</v>
      </c>
      <c r="C4" s="9">
        <v>1060000</v>
      </c>
      <c r="D4" s="11">
        <f>C4*D2</f>
        <v>159000</v>
      </c>
      <c r="E4" s="11">
        <f>D5*E2</f>
        <v>91530</v>
      </c>
      <c r="F4" s="11">
        <f>D6*F2</f>
        <v>100170</v>
      </c>
      <c r="G4" s="11">
        <f>D7*G2</f>
        <v>158400</v>
      </c>
      <c r="H4" s="11">
        <f>D8*H2</f>
        <v>285000</v>
      </c>
      <c r="I4" s="11">
        <f>D9*I2</f>
        <v>759000</v>
      </c>
      <c r="J4" s="11">
        <f>D10*J2</f>
        <v>162000</v>
      </c>
      <c r="K4" s="11">
        <f t="shared" si="0"/>
        <v>1556100</v>
      </c>
      <c r="L4" s="11">
        <f>(K4*L2)</f>
        <v>155610</v>
      </c>
      <c r="M4" s="11">
        <f t="shared" si="1"/>
        <v>1400490</v>
      </c>
    </row>
    <row r="5" spans="1:13" ht="20.25" thickBot="1" x14ac:dyDescent="0.3">
      <c r="A5" s="2" t="s">
        <v>47</v>
      </c>
      <c r="B5" s="5" t="s">
        <v>62</v>
      </c>
      <c r="C5" s="9">
        <v>2700000</v>
      </c>
      <c r="D5" s="11">
        <f>C5*D2</f>
        <v>405000</v>
      </c>
      <c r="E5" s="11">
        <f>D6*E2</f>
        <v>179670</v>
      </c>
      <c r="F5" s="11">
        <f>D7*F2</f>
        <v>207900</v>
      </c>
      <c r="G5" s="11">
        <f>D8*G2</f>
        <v>360000</v>
      </c>
      <c r="H5" s="11">
        <f>D9*H2</f>
        <v>1254000</v>
      </c>
      <c r="I5" s="11">
        <f>D10*I2</f>
        <v>207000</v>
      </c>
      <c r="J5" s="11">
        <f>D11*J2</f>
        <v>43200</v>
      </c>
      <c r="K5" s="11">
        <f t="shared" si="0"/>
        <v>2251770</v>
      </c>
      <c r="L5" s="11">
        <f>(K5*L2)</f>
        <v>225177</v>
      </c>
      <c r="M5" s="11">
        <f t="shared" si="1"/>
        <v>2026593</v>
      </c>
    </row>
    <row r="6" spans="1:13" ht="20.25" thickBot="1" x14ac:dyDescent="0.3">
      <c r="A6" s="2" t="s">
        <v>48</v>
      </c>
      <c r="B6" s="5" t="s">
        <v>64</v>
      </c>
      <c r="C6" s="9">
        <v>5300000</v>
      </c>
      <c r="D6" s="11">
        <f>C6*D2</f>
        <v>795000</v>
      </c>
      <c r="E6" s="11">
        <f>D7*E2</f>
        <v>372900</v>
      </c>
      <c r="F6" s="11">
        <f>D8*F2</f>
        <v>472500</v>
      </c>
      <c r="G6" s="11">
        <f>D9*G2</f>
        <v>1584000</v>
      </c>
      <c r="H6" s="11">
        <f>D10*H2</f>
        <v>342000</v>
      </c>
      <c r="I6" s="11">
        <f>D11*I2</f>
        <v>55200</v>
      </c>
      <c r="J6" s="11">
        <f>D12*J2</f>
        <v>40500</v>
      </c>
      <c r="K6" s="11">
        <f t="shared" si="0"/>
        <v>2867100</v>
      </c>
      <c r="L6" s="11">
        <f>(K6*L2)</f>
        <v>286710</v>
      </c>
      <c r="M6" s="11">
        <f t="shared" si="1"/>
        <v>2580390</v>
      </c>
    </row>
    <row r="7" spans="1:13" ht="20.25" thickBot="1" x14ac:dyDescent="0.3">
      <c r="A7" s="2" t="s">
        <v>49</v>
      </c>
      <c r="B7" s="5" t="s">
        <v>68</v>
      </c>
      <c r="C7" s="9">
        <v>11000000</v>
      </c>
      <c r="D7" s="11">
        <f>C7*D2</f>
        <v>1650000</v>
      </c>
      <c r="E7" s="11">
        <f>D8*E2</f>
        <v>847500</v>
      </c>
      <c r="F7" s="11">
        <f>D9*F2</f>
        <v>2079000</v>
      </c>
      <c r="G7" s="11">
        <f>D10*G2</f>
        <v>432000</v>
      </c>
      <c r="H7" s="11">
        <f>D11*H2</f>
        <v>91200</v>
      </c>
      <c r="I7" s="11">
        <f>D12*I2</f>
        <v>51750</v>
      </c>
      <c r="J7" s="11">
        <f>D13*J2</f>
        <v>121499.99999999999</v>
      </c>
      <c r="K7" s="11">
        <f t="shared" si="0"/>
        <v>3622950</v>
      </c>
      <c r="L7" s="11">
        <f>(K7*L2)</f>
        <v>362295</v>
      </c>
      <c r="M7" s="11">
        <f t="shared" si="1"/>
        <v>3260655</v>
      </c>
    </row>
    <row r="8" spans="1:13" ht="20.25" thickBot="1" x14ac:dyDescent="0.3">
      <c r="A8" s="2" t="s">
        <v>50</v>
      </c>
      <c r="B8" s="5" t="s">
        <v>63</v>
      </c>
      <c r="C8" s="9">
        <v>25000000</v>
      </c>
      <c r="D8" s="11">
        <f>C8*D2</f>
        <v>3750000</v>
      </c>
      <c r="E8" s="11">
        <f>D9*E2</f>
        <v>3729000</v>
      </c>
      <c r="F8" s="11">
        <f>D10*F2</f>
        <v>567000</v>
      </c>
      <c r="G8" s="11">
        <f>D11*G2</f>
        <v>115200</v>
      </c>
      <c r="H8" s="11">
        <f>D12*H2</f>
        <v>85500</v>
      </c>
      <c r="I8" s="11">
        <f>D13*I2</f>
        <v>155250</v>
      </c>
      <c r="J8" s="11">
        <f>D14*J2</f>
        <v>3239999.9999999995</v>
      </c>
      <c r="K8" s="11">
        <f t="shared" si="0"/>
        <v>7891950</v>
      </c>
      <c r="L8" s="11">
        <f>(K8*L2)</f>
        <v>789195</v>
      </c>
      <c r="M8" s="11">
        <f t="shared" si="1"/>
        <v>7102755</v>
      </c>
    </row>
    <row r="9" spans="1:13" ht="20.25" thickBot="1" x14ac:dyDescent="0.3">
      <c r="A9" s="2" t="s">
        <v>51</v>
      </c>
      <c r="B9" s="5" t="s">
        <v>67</v>
      </c>
      <c r="C9" s="9">
        <v>110000000</v>
      </c>
      <c r="D9" s="11">
        <f>C9*D2</f>
        <v>16500000</v>
      </c>
      <c r="E9" s="11">
        <f>D10*E2</f>
        <v>1017000</v>
      </c>
      <c r="F9" s="11">
        <f>D11*F2</f>
        <v>151200</v>
      </c>
      <c r="G9" s="11">
        <f>D12*G2</f>
        <v>108000</v>
      </c>
      <c r="H9" s="11">
        <f>D13*H2</f>
        <v>256500</v>
      </c>
      <c r="I9" s="11">
        <f>D14*I2</f>
        <v>4140000</v>
      </c>
      <c r="J9" s="11">
        <f>D15*J2</f>
        <v>809999.99999999988</v>
      </c>
      <c r="K9" s="11">
        <f t="shared" si="0"/>
        <v>6482700</v>
      </c>
      <c r="L9" s="11">
        <f>(K9*L2)</f>
        <v>648270</v>
      </c>
      <c r="M9" s="11">
        <f t="shared" si="1"/>
        <v>5834430</v>
      </c>
    </row>
    <row r="10" spans="1:13" ht="20.25" thickBot="1" x14ac:dyDescent="0.3">
      <c r="A10" s="2" t="s">
        <v>52</v>
      </c>
      <c r="B10" s="5" t="s">
        <v>66</v>
      </c>
      <c r="C10" s="9">
        <v>30000000</v>
      </c>
      <c r="D10" s="11">
        <f>C10*D2</f>
        <v>4500000</v>
      </c>
      <c r="E10" s="11">
        <f>D11*E2</f>
        <v>271200</v>
      </c>
      <c r="F10" s="11">
        <f>D12*F2</f>
        <v>141750</v>
      </c>
      <c r="G10" s="11">
        <f>D13*G2</f>
        <v>324000</v>
      </c>
      <c r="H10" s="11">
        <f>D14*H2</f>
        <v>6840000</v>
      </c>
      <c r="I10" s="11">
        <f>D15*I2</f>
        <v>1035000</v>
      </c>
      <c r="J10" s="11">
        <f>D16*J2</f>
        <v>286200</v>
      </c>
      <c r="K10" s="11">
        <f t="shared" si="0"/>
        <v>8898150</v>
      </c>
      <c r="L10" s="11">
        <f>(K10*L2)</f>
        <v>889815</v>
      </c>
      <c r="M10" s="11">
        <f t="shared" si="1"/>
        <v>8008335</v>
      </c>
    </row>
    <row r="11" spans="1:13" ht="20.25" thickBot="1" x14ac:dyDescent="0.3">
      <c r="A11" s="2" t="s">
        <v>53</v>
      </c>
      <c r="B11" s="5" t="s">
        <v>65</v>
      </c>
      <c r="C11" s="9">
        <v>8000000</v>
      </c>
      <c r="D11" s="11">
        <f>C11*D2</f>
        <v>1200000</v>
      </c>
      <c r="E11" s="11">
        <f>D12*E2</f>
        <v>254250</v>
      </c>
      <c r="F11" s="11">
        <f>D13*F2</f>
        <v>425250</v>
      </c>
      <c r="G11" s="11">
        <f>D14*G2</f>
        <v>8640000</v>
      </c>
      <c r="H11" s="11">
        <f>D15*H2</f>
        <v>1710000</v>
      </c>
      <c r="I11" s="11">
        <f>D16*I2</f>
        <v>365700</v>
      </c>
      <c r="J11" s="11">
        <f>D17*J2</f>
        <v>404999.99999999994</v>
      </c>
      <c r="K11" s="11">
        <f t="shared" si="0"/>
        <v>11800200</v>
      </c>
      <c r="L11" s="11">
        <f>(K11*L2)</f>
        <v>1180020</v>
      </c>
      <c r="M11" s="11">
        <f t="shared" si="1"/>
        <v>10620180</v>
      </c>
    </row>
    <row r="12" spans="1:13" ht="20.25" thickBot="1" x14ac:dyDescent="0.3">
      <c r="A12" s="2" t="s">
        <v>54</v>
      </c>
      <c r="B12" s="5" t="s">
        <v>69</v>
      </c>
      <c r="C12" s="9">
        <v>7500000</v>
      </c>
      <c r="D12" s="11">
        <f>C12*D2</f>
        <v>1125000</v>
      </c>
      <c r="E12" s="11">
        <f>D13*E2</f>
        <v>762750</v>
      </c>
      <c r="F12" s="11">
        <f>D14*F2</f>
        <v>11340000</v>
      </c>
      <c r="G12" s="11">
        <f>D15*G2</f>
        <v>2160000</v>
      </c>
      <c r="H12" s="11">
        <f>D16*H2</f>
        <v>604200</v>
      </c>
      <c r="I12" s="11">
        <f>D17*I2</f>
        <v>517500</v>
      </c>
      <c r="J12" s="11">
        <f>D18*J2</f>
        <v>53999.999999999993</v>
      </c>
      <c r="K12" s="11">
        <f t="shared" si="0"/>
        <v>15438450</v>
      </c>
      <c r="L12" s="11">
        <f>(K12*L2)</f>
        <v>1543845</v>
      </c>
      <c r="M12" s="11">
        <f t="shared" si="1"/>
        <v>13894605</v>
      </c>
    </row>
    <row r="13" spans="1:13" ht="20.25" thickBot="1" x14ac:dyDescent="0.3">
      <c r="A13" s="2" t="s">
        <v>55</v>
      </c>
      <c r="B13" s="5" t="s">
        <v>70</v>
      </c>
      <c r="C13" s="9">
        <v>22500000</v>
      </c>
      <c r="D13" s="11">
        <f>C13*D2</f>
        <v>3375000</v>
      </c>
      <c r="E13" s="11">
        <f>D14*E2</f>
        <v>20340000</v>
      </c>
      <c r="F13" s="11">
        <f>D15*F2</f>
        <v>2835000</v>
      </c>
      <c r="G13" s="11">
        <f>D16*G2</f>
        <v>763200</v>
      </c>
      <c r="H13" s="11">
        <f>D17*H2</f>
        <v>855000</v>
      </c>
      <c r="I13" s="11">
        <f>D18*I2</f>
        <v>69000</v>
      </c>
      <c r="J13" s="11"/>
      <c r="K13" s="11">
        <f t="shared" si="0"/>
        <v>24862200</v>
      </c>
      <c r="L13" s="11">
        <f>(K13*L2)</f>
        <v>2486220</v>
      </c>
      <c r="M13" s="11">
        <f t="shared" si="1"/>
        <v>22375980</v>
      </c>
    </row>
    <row r="14" spans="1:13" ht="20.25" thickBot="1" x14ac:dyDescent="0.3">
      <c r="A14" s="2" t="s">
        <v>56</v>
      </c>
      <c r="B14" s="5" t="s">
        <v>71</v>
      </c>
      <c r="C14" s="9">
        <v>600000000</v>
      </c>
      <c r="D14" s="11">
        <f>C14*D2</f>
        <v>90000000</v>
      </c>
      <c r="E14" s="11">
        <f>D15*E2</f>
        <v>5085000</v>
      </c>
      <c r="F14" s="11">
        <f>D16*F2</f>
        <v>1001700</v>
      </c>
      <c r="G14" s="11">
        <f>D17*G2</f>
        <v>1080000</v>
      </c>
      <c r="H14" s="11">
        <f>D18*H2</f>
        <v>114000</v>
      </c>
      <c r="I14" s="11"/>
      <c r="J14" s="11"/>
      <c r="K14" s="11">
        <f t="shared" si="0"/>
        <v>7280700</v>
      </c>
      <c r="L14" s="11">
        <f>(K14*L2)</f>
        <v>728070</v>
      </c>
      <c r="M14" s="11">
        <f t="shared" si="1"/>
        <v>6552630</v>
      </c>
    </row>
    <row r="15" spans="1:13" ht="20.25" thickBot="1" x14ac:dyDescent="0.3">
      <c r="A15" s="2" t="s">
        <v>57</v>
      </c>
      <c r="B15" s="5" t="s">
        <v>72</v>
      </c>
      <c r="C15" s="9">
        <v>150000000</v>
      </c>
      <c r="D15" s="11">
        <f>C15*D2</f>
        <v>22500000</v>
      </c>
      <c r="E15" s="11">
        <f>D16*E2</f>
        <v>1796700</v>
      </c>
      <c r="F15" s="11">
        <f>D17*F2</f>
        <v>1417500</v>
      </c>
      <c r="G15" s="11">
        <f>D18*G2</f>
        <v>144000</v>
      </c>
      <c r="H15" s="11"/>
      <c r="I15" s="11"/>
      <c r="J15" s="11"/>
      <c r="K15" s="11">
        <f t="shared" si="0"/>
        <v>3358200</v>
      </c>
      <c r="L15" s="11">
        <f>(K15*L2)</f>
        <v>335820</v>
      </c>
      <c r="M15" s="11">
        <f t="shared" si="1"/>
        <v>3022380</v>
      </c>
    </row>
    <row r="16" spans="1:13" ht="20.25" thickBot="1" x14ac:dyDescent="0.3">
      <c r="A16" s="2" t="s">
        <v>58</v>
      </c>
      <c r="B16" s="5" t="s">
        <v>73</v>
      </c>
      <c r="C16" s="9">
        <v>53000000</v>
      </c>
      <c r="D16" s="11">
        <f>C16*D2</f>
        <v>7950000</v>
      </c>
      <c r="E16" s="11">
        <f>D17*E2</f>
        <v>2542500</v>
      </c>
      <c r="F16" s="11">
        <f>D18*F2</f>
        <v>189000</v>
      </c>
      <c r="G16" s="11"/>
      <c r="H16" s="11"/>
      <c r="I16" s="11"/>
      <c r="J16" s="11"/>
      <c r="K16" s="11">
        <f t="shared" si="0"/>
        <v>2731500</v>
      </c>
      <c r="L16" s="11">
        <f>(K16*L2)</f>
        <v>273150</v>
      </c>
      <c r="M16" s="11">
        <f t="shared" si="1"/>
        <v>2458350</v>
      </c>
    </row>
    <row r="17" spans="1:13" ht="20.25" thickBot="1" x14ac:dyDescent="0.3">
      <c r="A17" s="2" t="s">
        <v>59</v>
      </c>
      <c r="B17" s="5" t="s">
        <v>74</v>
      </c>
      <c r="C17" s="9">
        <v>75000000</v>
      </c>
      <c r="D17" s="11">
        <f>C17*D2</f>
        <v>11250000</v>
      </c>
      <c r="E17" s="11">
        <f>D18*E2</f>
        <v>339000</v>
      </c>
      <c r="F17" s="11"/>
      <c r="G17" s="11"/>
      <c r="H17" s="11"/>
      <c r="I17" s="11"/>
      <c r="J17" s="11"/>
      <c r="K17" s="11">
        <f t="shared" si="0"/>
        <v>339000</v>
      </c>
      <c r="L17" s="11">
        <f>(K17*L2)</f>
        <v>33900</v>
      </c>
      <c r="M17" s="11">
        <f t="shared" si="1"/>
        <v>305100</v>
      </c>
    </row>
    <row r="18" spans="1:13" ht="20.25" thickBot="1" x14ac:dyDescent="0.3">
      <c r="A18" s="2" t="s">
        <v>60</v>
      </c>
      <c r="B18" s="5" t="s">
        <v>75</v>
      </c>
      <c r="C18" s="9">
        <v>10000000</v>
      </c>
      <c r="D18" s="11">
        <f>C18*D2</f>
        <v>1500000</v>
      </c>
      <c r="E18" s="11"/>
      <c r="F18" s="11"/>
      <c r="G18" s="11"/>
      <c r="H18" s="11"/>
      <c r="I18" s="11"/>
      <c r="J18" s="11"/>
      <c r="K18" s="11">
        <f t="shared" si="0"/>
        <v>0</v>
      </c>
      <c r="L18" s="11">
        <f>(K18*L2)</f>
        <v>0</v>
      </c>
      <c r="M18" s="11">
        <f t="shared" si="1"/>
        <v>0</v>
      </c>
    </row>
    <row r="19" spans="1:13" ht="20.25" thickBot="1" x14ac:dyDescent="0.3">
      <c r="A19" s="2" t="s">
        <v>7</v>
      </c>
      <c r="B19" s="5"/>
      <c r="C19" s="10">
        <f t="shared" ref="C19:D19" si="2">SUM(C3:C18)</f>
        <v>1111111111</v>
      </c>
      <c r="D19" s="11">
        <f t="shared" si="2"/>
        <v>166666666.65000001</v>
      </c>
      <c r="E19" s="11">
        <f t="shared" ref="E19:M19" si="3">SUM(E3:E18)</f>
        <v>37664934</v>
      </c>
      <c r="F19" s="11">
        <f t="shared" si="3"/>
        <v>20979000</v>
      </c>
      <c r="G19" s="11">
        <f t="shared" si="3"/>
        <v>15945120</v>
      </c>
      <c r="H19" s="11">
        <f t="shared" si="3"/>
        <v>12562800</v>
      </c>
      <c r="I19" s="11">
        <f t="shared" si="3"/>
        <v>7527900</v>
      </c>
      <c r="J19" s="11">
        <f t="shared" si="3"/>
        <v>5756400</v>
      </c>
      <c r="K19" s="12">
        <f t="shared" si="3"/>
        <v>100436154</v>
      </c>
      <c r="L19" s="12">
        <f t="shared" si="3"/>
        <v>10043615.4</v>
      </c>
      <c r="M19" s="12">
        <f t="shared" si="3"/>
        <v>90392538.599999994</v>
      </c>
    </row>
    <row r="20" spans="1:13" ht="15.75" thickBot="1" x14ac:dyDescent="0.3">
      <c r="A20" s="5"/>
      <c r="B20" s="5"/>
      <c r="C20" s="5"/>
      <c r="D20" s="6">
        <f>D19/C19</f>
        <v>0.15</v>
      </c>
      <c r="E20" s="7">
        <f>E19/D19</f>
        <v>0.22598960402259896</v>
      </c>
      <c r="F20" s="7">
        <f>F19/D19</f>
        <v>0.12587400001258739</v>
      </c>
      <c r="G20" s="7">
        <f>G19/D19</f>
        <v>9.567072000956707E-2</v>
      </c>
      <c r="H20" s="7">
        <f>H19/D19</f>
        <v>7.5376800007537673E-2</v>
      </c>
      <c r="I20" s="7">
        <f>I19/D19</f>
        <v>4.5167400004516738E-2</v>
      </c>
      <c r="J20" s="7">
        <f>J19/D19</f>
        <v>3.4538400003453838E-2</v>
      </c>
      <c r="K20" s="42">
        <f>K19/C19</f>
        <v>9.0392538609039258E-2</v>
      </c>
      <c r="L20" s="42">
        <f>L19/C19</f>
        <v>9.0392538609039251E-3</v>
      </c>
      <c r="M20" s="42">
        <f>M19/C19</f>
        <v>8.1353284748135329E-2</v>
      </c>
    </row>
  </sheetData>
  <mergeCells count="4">
    <mergeCell ref="A1:C2"/>
    <mergeCell ref="E1:J1"/>
    <mergeCell ref="K1:K2"/>
    <mergeCell ref="M1:M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42D8-ACE2-4687-92AA-47391256D815}">
  <dimension ref="A1:M20"/>
  <sheetViews>
    <sheetView zoomScale="90" zoomScaleNormal="90" workbookViewId="0">
      <selection activeCell="E2" sqref="E2:J2"/>
    </sheetView>
  </sheetViews>
  <sheetFormatPr defaultRowHeight="15" x14ac:dyDescent="0.25"/>
  <cols>
    <col min="2" max="2" width="8.85546875" bestFit="1" customWidth="1"/>
    <col min="3" max="3" width="20.85546875" bestFit="1" customWidth="1"/>
    <col min="4" max="4" width="12.42578125" bestFit="1" customWidth="1"/>
    <col min="5" max="8" width="11.42578125" bestFit="1" customWidth="1"/>
    <col min="9" max="10" width="9.85546875" bestFit="1" customWidth="1"/>
    <col min="11" max="11" width="18" bestFit="1" customWidth="1"/>
    <col min="12" max="12" width="22.28515625" bestFit="1" customWidth="1"/>
    <col min="13" max="13" width="25" bestFit="1" customWidth="1"/>
  </cols>
  <sheetData>
    <row r="1" spans="1:13" ht="20.25" thickBot="1" x14ac:dyDescent="0.3">
      <c r="A1" s="39" t="s">
        <v>39</v>
      </c>
      <c r="B1" s="39"/>
      <c r="C1" s="39"/>
      <c r="D1" s="2" t="s">
        <v>8</v>
      </c>
      <c r="E1" s="43" t="s">
        <v>120</v>
      </c>
      <c r="F1" s="43"/>
      <c r="G1" s="43"/>
      <c r="H1" s="43"/>
      <c r="I1" s="43"/>
      <c r="J1" s="43"/>
      <c r="K1" s="26" t="s">
        <v>43</v>
      </c>
      <c r="L1" s="2" t="s">
        <v>6</v>
      </c>
      <c r="M1" s="26" t="s">
        <v>44</v>
      </c>
    </row>
    <row r="2" spans="1:13" ht="20.25" thickBot="1" x14ac:dyDescent="0.3">
      <c r="A2" s="39"/>
      <c r="B2" s="39"/>
      <c r="C2" s="39"/>
      <c r="D2" s="15">
        <v>0.15</v>
      </c>
      <c r="E2" s="41">
        <v>0.22850000000000001</v>
      </c>
      <c r="F2" s="41">
        <v>0.1285</v>
      </c>
      <c r="G2" s="41">
        <v>9.8500000000000004E-2</v>
      </c>
      <c r="H2" s="41">
        <v>7.85E-2</v>
      </c>
      <c r="I2" s="41">
        <v>4.8500000000000001E-2</v>
      </c>
      <c r="J2" s="41">
        <v>3.85E-2</v>
      </c>
      <c r="K2" s="27"/>
      <c r="L2" s="15">
        <v>0.1</v>
      </c>
      <c r="M2" s="27"/>
    </row>
    <row r="3" spans="1:13" ht="20.25" thickBot="1" x14ac:dyDescent="0.3">
      <c r="A3" s="2" t="s">
        <v>45</v>
      </c>
      <c r="B3" s="5" t="s">
        <v>76</v>
      </c>
      <c r="C3" s="9">
        <v>51111</v>
      </c>
      <c r="D3" s="11">
        <f>C3*D2</f>
        <v>7666.65</v>
      </c>
      <c r="E3" s="11">
        <f>D4*E2</f>
        <v>36331.5</v>
      </c>
      <c r="F3" s="11">
        <f>D5*F2</f>
        <v>52042.5</v>
      </c>
      <c r="G3" s="11">
        <f>D6*G2</f>
        <v>78307.5</v>
      </c>
      <c r="H3" s="11">
        <f>D7*H2</f>
        <v>129525</v>
      </c>
      <c r="I3" s="11">
        <f>D8*I2</f>
        <v>181875</v>
      </c>
      <c r="J3" s="11">
        <f>D9*J2</f>
        <v>635250</v>
      </c>
      <c r="K3" s="11">
        <f t="shared" ref="K3:K18" si="0">SUM(E3:J3)</f>
        <v>1113331.5</v>
      </c>
      <c r="L3" s="11">
        <f>(K3*L2)</f>
        <v>111333.15000000001</v>
      </c>
      <c r="M3" s="11">
        <f t="shared" ref="M3:M18" si="1">K3-L3</f>
        <v>1001998.35</v>
      </c>
    </row>
    <row r="4" spans="1:13" ht="20.25" thickBot="1" x14ac:dyDescent="0.3">
      <c r="A4" s="2" t="s">
        <v>46</v>
      </c>
      <c r="B4" s="5" t="s">
        <v>61</v>
      </c>
      <c r="C4" s="9">
        <v>1060000</v>
      </c>
      <c r="D4" s="11">
        <f>C4*D2</f>
        <v>159000</v>
      </c>
      <c r="E4" s="11">
        <f>D5*E2</f>
        <v>92542.5</v>
      </c>
      <c r="F4" s="11">
        <f>D6*F2</f>
        <v>102157.5</v>
      </c>
      <c r="G4" s="11">
        <f>D7*G2</f>
        <v>162525</v>
      </c>
      <c r="H4" s="11">
        <f>D8*H2</f>
        <v>294375</v>
      </c>
      <c r="I4" s="11">
        <f>D9*I2</f>
        <v>800250</v>
      </c>
      <c r="J4" s="11">
        <f>D10*J2</f>
        <v>173250</v>
      </c>
      <c r="K4" s="11">
        <f t="shared" si="0"/>
        <v>1625100</v>
      </c>
      <c r="L4" s="11">
        <f>(K4*L2)</f>
        <v>162510</v>
      </c>
      <c r="M4" s="11">
        <f t="shared" si="1"/>
        <v>1462590</v>
      </c>
    </row>
    <row r="5" spans="1:13" ht="20.25" thickBot="1" x14ac:dyDescent="0.3">
      <c r="A5" s="2" t="s">
        <v>47</v>
      </c>
      <c r="B5" s="5" t="s">
        <v>62</v>
      </c>
      <c r="C5" s="9">
        <v>2700000</v>
      </c>
      <c r="D5" s="11">
        <f>C5*D2</f>
        <v>405000</v>
      </c>
      <c r="E5" s="11">
        <f>D6*E2</f>
        <v>181657.5</v>
      </c>
      <c r="F5" s="11">
        <f>D7*F2</f>
        <v>212025</v>
      </c>
      <c r="G5" s="11">
        <f>D8*G2</f>
        <v>369375</v>
      </c>
      <c r="H5" s="11">
        <f>D9*H2</f>
        <v>1295250</v>
      </c>
      <c r="I5" s="11">
        <f>D10*I2</f>
        <v>218250</v>
      </c>
      <c r="J5" s="11">
        <f>D11*J2</f>
        <v>46200</v>
      </c>
      <c r="K5" s="11">
        <f t="shared" si="0"/>
        <v>2322757.5</v>
      </c>
      <c r="L5" s="11">
        <f>(K5*L2)</f>
        <v>232275.75</v>
      </c>
      <c r="M5" s="11">
        <f t="shared" si="1"/>
        <v>2090481.75</v>
      </c>
    </row>
    <row r="6" spans="1:13" ht="20.25" thickBot="1" x14ac:dyDescent="0.3">
      <c r="A6" s="2" t="s">
        <v>48</v>
      </c>
      <c r="B6" s="5" t="s">
        <v>64</v>
      </c>
      <c r="C6" s="9">
        <v>5300000</v>
      </c>
      <c r="D6" s="11">
        <f>C6*D2</f>
        <v>795000</v>
      </c>
      <c r="E6" s="11">
        <f>D7*E2</f>
        <v>377025</v>
      </c>
      <c r="F6" s="11">
        <f>D8*F2</f>
        <v>481875</v>
      </c>
      <c r="G6" s="11">
        <f>D9*G2</f>
        <v>1625250</v>
      </c>
      <c r="H6" s="11">
        <f>D10*H2</f>
        <v>353250</v>
      </c>
      <c r="I6" s="11">
        <f>D11*I2</f>
        <v>58200</v>
      </c>
      <c r="J6" s="11">
        <f>D12*J2</f>
        <v>43312.5</v>
      </c>
      <c r="K6" s="11">
        <f t="shared" si="0"/>
        <v>2938912.5</v>
      </c>
      <c r="L6" s="11">
        <f>(K6*L2)</f>
        <v>293891.25</v>
      </c>
      <c r="M6" s="11">
        <f t="shared" si="1"/>
        <v>2645021.25</v>
      </c>
    </row>
    <row r="7" spans="1:13" ht="20.25" thickBot="1" x14ac:dyDescent="0.3">
      <c r="A7" s="2" t="s">
        <v>49</v>
      </c>
      <c r="B7" s="5" t="s">
        <v>68</v>
      </c>
      <c r="C7" s="9">
        <v>11000000</v>
      </c>
      <c r="D7" s="11">
        <f>C7*D2</f>
        <v>1650000</v>
      </c>
      <c r="E7" s="11">
        <f>D8*E2</f>
        <v>856875</v>
      </c>
      <c r="F7" s="11">
        <f>D9*F2</f>
        <v>2120250</v>
      </c>
      <c r="G7" s="11">
        <f>D10*G2</f>
        <v>443250</v>
      </c>
      <c r="H7" s="11">
        <f>D11*H2</f>
        <v>94200</v>
      </c>
      <c r="I7" s="11">
        <f>D12*I2</f>
        <v>54562.5</v>
      </c>
      <c r="J7" s="11">
        <f>D13*J2</f>
        <v>129937.5</v>
      </c>
      <c r="K7" s="11">
        <f t="shared" si="0"/>
        <v>3699075</v>
      </c>
      <c r="L7" s="11">
        <f>(K7*L2)</f>
        <v>369907.5</v>
      </c>
      <c r="M7" s="11">
        <f t="shared" si="1"/>
        <v>3329167.5</v>
      </c>
    </row>
    <row r="8" spans="1:13" ht="20.25" thickBot="1" x14ac:dyDescent="0.3">
      <c r="A8" s="2" t="s">
        <v>50</v>
      </c>
      <c r="B8" s="5" t="s">
        <v>63</v>
      </c>
      <c r="C8" s="9">
        <v>25000000</v>
      </c>
      <c r="D8" s="11">
        <f>C8*D2</f>
        <v>3750000</v>
      </c>
      <c r="E8" s="11">
        <f>D9*E2</f>
        <v>3770250</v>
      </c>
      <c r="F8" s="11">
        <f>D10*F2</f>
        <v>578250</v>
      </c>
      <c r="G8" s="11">
        <f>D11*G2</f>
        <v>118200</v>
      </c>
      <c r="H8" s="11">
        <f>D12*H2</f>
        <v>88312.5</v>
      </c>
      <c r="I8" s="11">
        <f>D13*I2</f>
        <v>163687.5</v>
      </c>
      <c r="J8" s="11">
        <f>D14*J2</f>
        <v>3465000</v>
      </c>
      <c r="K8" s="11">
        <f t="shared" si="0"/>
        <v>8183700</v>
      </c>
      <c r="L8" s="11">
        <f>(K8*L2)</f>
        <v>818370</v>
      </c>
      <c r="M8" s="11">
        <f t="shared" si="1"/>
        <v>7365330</v>
      </c>
    </row>
    <row r="9" spans="1:13" ht="20.25" thickBot="1" x14ac:dyDescent="0.3">
      <c r="A9" s="2" t="s">
        <v>51</v>
      </c>
      <c r="B9" s="5" t="s">
        <v>67</v>
      </c>
      <c r="C9" s="9">
        <v>110000000</v>
      </c>
      <c r="D9" s="11">
        <f>C9*D2</f>
        <v>16500000</v>
      </c>
      <c r="E9" s="11">
        <f>D10*E2</f>
        <v>1028250</v>
      </c>
      <c r="F9" s="11">
        <f>D11*F2</f>
        <v>154200</v>
      </c>
      <c r="G9" s="11">
        <f>D12*G2</f>
        <v>110812.5</v>
      </c>
      <c r="H9" s="11">
        <f>D13*H2</f>
        <v>264937.5</v>
      </c>
      <c r="I9" s="11">
        <f>D14*I2</f>
        <v>4365000</v>
      </c>
      <c r="J9" s="11">
        <f>D15*J2</f>
        <v>866250</v>
      </c>
      <c r="K9" s="11">
        <f t="shared" si="0"/>
        <v>6789450</v>
      </c>
      <c r="L9" s="11">
        <f>(K9*L2)</f>
        <v>678945</v>
      </c>
      <c r="M9" s="11">
        <f t="shared" si="1"/>
        <v>6110505</v>
      </c>
    </row>
    <row r="10" spans="1:13" ht="20.25" thickBot="1" x14ac:dyDescent="0.3">
      <c r="A10" s="2" t="s">
        <v>52</v>
      </c>
      <c r="B10" s="5" t="s">
        <v>66</v>
      </c>
      <c r="C10" s="9">
        <v>30000000</v>
      </c>
      <c r="D10" s="11">
        <f>C10*D2</f>
        <v>4500000</v>
      </c>
      <c r="E10" s="11">
        <f>D11*E2</f>
        <v>274200</v>
      </c>
      <c r="F10" s="11">
        <f>D12*F2</f>
        <v>144562.5</v>
      </c>
      <c r="G10" s="11">
        <f>D13*G2</f>
        <v>332437.5</v>
      </c>
      <c r="H10" s="11">
        <f>D14*H2</f>
        <v>7065000</v>
      </c>
      <c r="I10" s="11">
        <f>D15*I2</f>
        <v>1091250</v>
      </c>
      <c r="J10" s="11">
        <f>D16*J2</f>
        <v>306075</v>
      </c>
      <c r="K10" s="11">
        <f t="shared" si="0"/>
        <v>9213525</v>
      </c>
      <c r="L10" s="11">
        <f>(K10*L2)</f>
        <v>921352.5</v>
      </c>
      <c r="M10" s="11">
        <f t="shared" si="1"/>
        <v>8292172.5</v>
      </c>
    </row>
    <row r="11" spans="1:13" ht="20.25" thickBot="1" x14ac:dyDescent="0.3">
      <c r="A11" s="2" t="s">
        <v>53</v>
      </c>
      <c r="B11" s="5" t="s">
        <v>65</v>
      </c>
      <c r="C11" s="9">
        <v>8000000</v>
      </c>
      <c r="D11" s="11">
        <f>C11*D2</f>
        <v>1200000</v>
      </c>
      <c r="E11" s="11">
        <f>D12*E2</f>
        <v>257062.5</v>
      </c>
      <c r="F11" s="11">
        <f>D13*F2</f>
        <v>433687.5</v>
      </c>
      <c r="G11" s="11">
        <f>D14*G2</f>
        <v>8865000</v>
      </c>
      <c r="H11" s="11">
        <f>D15*H2</f>
        <v>1766250</v>
      </c>
      <c r="I11" s="11">
        <f>D16*I2</f>
        <v>385575</v>
      </c>
      <c r="J11" s="11">
        <f>D17*J2</f>
        <v>433125</v>
      </c>
      <c r="K11" s="11">
        <f t="shared" si="0"/>
        <v>12140700</v>
      </c>
      <c r="L11" s="11">
        <f>(K11*L2)</f>
        <v>1214070</v>
      </c>
      <c r="M11" s="11">
        <f t="shared" si="1"/>
        <v>10926630</v>
      </c>
    </row>
    <row r="12" spans="1:13" ht="20.25" thickBot="1" x14ac:dyDescent="0.3">
      <c r="A12" s="2" t="s">
        <v>54</v>
      </c>
      <c r="B12" s="5" t="s">
        <v>69</v>
      </c>
      <c r="C12" s="9">
        <v>7500000</v>
      </c>
      <c r="D12" s="11">
        <f>C12*D2</f>
        <v>1125000</v>
      </c>
      <c r="E12" s="11">
        <f>D13*E2</f>
        <v>771187.5</v>
      </c>
      <c r="F12" s="11">
        <f>D14*F2</f>
        <v>11565000</v>
      </c>
      <c r="G12" s="11">
        <f>D15*G2</f>
        <v>2216250</v>
      </c>
      <c r="H12" s="11">
        <f>D16*H2</f>
        <v>624075</v>
      </c>
      <c r="I12" s="11">
        <f>D17*I2</f>
        <v>545625</v>
      </c>
      <c r="J12" s="11">
        <f>D18*J2</f>
        <v>57750</v>
      </c>
      <c r="K12" s="11">
        <f t="shared" si="0"/>
        <v>15779887.5</v>
      </c>
      <c r="L12" s="11">
        <f>(K12*L2)</f>
        <v>1577988.75</v>
      </c>
      <c r="M12" s="11">
        <f t="shared" si="1"/>
        <v>14201898.75</v>
      </c>
    </row>
    <row r="13" spans="1:13" ht="20.25" thickBot="1" x14ac:dyDescent="0.3">
      <c r="A13" s="2" t="s">
        <v>55</v>
      </c>
      <c r="B13" s="5" t="s">
        <v>70</v>
      </c>
      <c r="C13" s="9">
        <v>22500000</v>
      </c>
      <c r="D13" s="11">
        <f>C13*D2</f>
        <v>3375000</v>
      </c>
      <c r="E13" s="11">
        <f>D14*E2</f>
        <v>20565000</v>
      </c>
      <c r="F13" s="11">
        <f>D15*F2</f>
        <v>2891250</v>
      </c>
      <c r="G13" s="11">
        <f>D16*G2</f>
        <v>783075</v>
      </c>
      <c r="H13" s="11">
        <f>D17*H2</f>
        <v>883125</v>
      </c>
      <c r="I13" s="11">
        <f>D18*I2</f>
        <v>72750</v>
      </c>
      <c r="J13" s="11"/>
      <c r="K13" s="11">
        <f t="shared" si="0"/>
        <v>25195200</v>
      </c>
      <c r="L13" s="11">
        <f>(K13*L2)</f>
        <v>2519520</v>
      </c>
      <c r="M13" s="11">
        <f t="shared" si="1"/>
        <v>22675680</v>
      </c>
    </row>
    <row r="14" spans="1:13" ht="20.25" thickBot="1" x14ac:dyDescent="0.3">
      <c r="A14" s="2" t="s">
        <v>56</v>
      </c>
      <c r="B14" s="5" t="s">
        <v>71</v>
      </c>
      <c r="C14" s="9">
        <v>600000000</v>
      </c>
      <c r="D14" s="11">
        <f>C14*D2</f>
        <v>90000000</v>
      </c>
      <c r="E14" s="11">
        <f>D15*E2</f>
        <v>5141250</v>
      </c>
      <c r="F14" s="11">
        <f>D16*F2</f>
        <v>1021575</v>
      </c>
      <c r="G14" s="11">
        <f>D17*G2</f>
        <v>1108125</v>
      </c>
      <c r="H14" s="11">
        <f>D18*H2</f>
        <v>117750</v>
      </c>
      <c r="I14" s="11"/>
      <c r="J14" s="11"/>
      <c r="K14" s="11">
        <f t="shared" si="0"/>
        <v>7388700</v>
      </c>
      <c r="L14" s="11">
        <f>(K14*L2)</f>
        <v>738870</v>
      </c>
      <c r="M14" s="11">
        <f t="shared" si="1"/>
        <v>6649830</v>
      </c>
    </row>
    <row r="15" spans="1:13" ht="20.25" thickBot="1" x14ac:dyDescent="0.3">
      <c r="A15" s="2" t="s">
        <v>57</v>
      </c>
      <c r="B15" s="5" t="s">
        <v>72</v>
      </c>
      <c r="C15" s="9">
        <v>150000000</v>
      </c>
      <c r="D15" s="11">
        <f>C15*D2</f>
        <v>22500000</v>
      </c>
      <c r="E15" s="11">
        <f>D16*E2</f>
        <v>1816575</v>
      </c>
      <c r="F15" s="11">
        <f>D17*F2</f>
        <v>1445625</v>
      </c>
      <c r="G15" s="11">
        <f>D18*G2</f>
        <v>147750</v>
      </c>
      <c r="H15" s="11"/>
      <c r="I15" s="11"/>
      <c r="J15" s="11"/>
      <c r="K15" s="11">
        <f t="shared" si="0"/>
        <v>3409950</v>
      </c>
      <c r="L15" s="11">
        <f>(K15*L2)</f>
        <v>340995</v>
      </c>
      <c r="M15" s="11">
        <f t="shared" si="1"/>
        <v>3068955</v>
      </c>
    </row>
    <row r="16" spans="1:13" ht="20.25" thickBot="1" x14ac:dyDescent="0.3">
      <c r="A16" s="2" t="s">
        <v>58</v>
      </c>
      <c r="B16" s="5" t="s">
        <v>73</v>
      </c>
      <c r="C16" s="9">
        <v>53000000</v>
      </c>
      <c r="D16" s="11">
        <f>C16*D2</f>
        <v>7950000</v>
      </c>
      <c r="E16" s="11">
        <f>D17*E2</f>
        <v>2570625</v>
      </c>
      <c r="F16" s="11">
        <f>D18*F2</f>
        <v>192750</v>
      </c>
      <c r="G16" s="11"/>
      <c r="H16" s="11"/>
      <c r="I16" s="11"/>
      <c r="J16" s="11"/>
      <c r="K16" s="11">
        <f t="shared" si="0"/>
        <v>2763375</v>
      </c>
      <c r="L16" s="11">
        <f>(K16*L2)</f>
        <v>276337.5</v>
      </c>
      <c r="M16" s="11">
        <f t="shared" si="1"/>
        <v>2487037.5</v>
      </c>
    </row>
    <row r="17" spans="1:13" ht="20.25" thickBot="1" x14ac:dyDescent="0.3">
      <c r="A17" s="2" t="s">
        <v>59</v>
      </c>
      <c r="B17" s="5" t="s">
        <v>74</v>
      </c>
      <c r="C17" s="9">
        <v>75000000</v>
      </c>
      <c r="D17" s="11">
        <f>C17*D2</f>
        <v>11250000</v>
      </c>
      <c r="E17" s="11">
        <f>D18*E2</f>
        <v>342750</v>
      </c>
      <c r="F17" s="11"/>
      <c r="G17" s="11"/>
      <c r="H17" s="11"/>
      <c r="I17" s="11"/>
      <c r="J17" s="11"/>
      <c r="K17" s="11">
        <f t="shared" si="0"/>
        <v>342750</v>
      </c>
      <c r="L17" s="11">
        <f>(K17*L2)</f>
        <v>34275</v>
      </c>
      <c r="M17" s="11">
        <f t="shared" si="1"/>
        <v>308475</v>
      </c>
    </row>
    <row r="18" spans="1:13" ht="20.25" thickBot="1" x14ac:dyDescent="0.3">
      <c r="A18" s="2" t="s">
        <v>60</v>
      </c>
      <c r="B18" s="5" t="s">
        <v>75</v>
      </c>
      <c r="C18" s="9">
        <v>10000000</v>
      </c>
      <c r="D18" s="11">
        <f>C18*D2</f>
        <v>1500000</v>
      </c>
      <c r="E18" s="11"/>
      <c r="F18" s="11"/>
      <c r="G18" s="11"/>
      <c r="H18" s="11"/>
      <c r="I18" s="11"/>
      <c r="J18" s="11"/>
      <c r="K18" s="11">
        <f t="shared" si="0"/>
        <v>0</v>
      </c>
      <c r="L18" s="11">
        <f>(K18*L2)</f>
        <v>0</v>
      </c>
      <c r="M18" s="11">
        <f t="shared" si="1"/>
        <v>0</v>
      </c>
    </row>
    <row r="19" spans="1:13" ht="20.25" thickBot="1" x14ac:dyDescent="0.3">
      <c r="A19" s="2" t="s">
        <v>7</v>
      </c>
      <c r="B19" s="5"/>
      <c r="C19" s="10">
        <f t="shared" ref="C19:D19" si="2">SUM(C3:C18)</f>
        <v>1111111111</v>
      </c>
      <c r="D19" s="11">
        <f t="shared" si="2"/>
        <v>166666666.65000001</v>
      </c>
      <c r="E19" s="11">
        <f t="shared" ref="E19:M19" si="3">SUM(E3:E18)</f>
        <v>38081581.5</v>
      </c>
      <c r="F19" s="11">
        <f t="shared" si="3"/>
        <v>21395250</v>
      </c>
      <c r="G19" s="11">
        <f t="shared" si="3"/>
        <v>16360357.5</v>
      </c>
      <c r="H19" s="11">
        <f t="shared" si="3"/>
        <v>12976050</v>
      </c>
      <c r="I19" s="11">
        <f t="shared" si="3"/>
        <v>7937025</v>
      </c>
      <c r="J19" s="11">
        <f t="shared" si="3"/>
        <v>6156150</v>
      </c>
      <c r="K19" s="12">
        <f t="shared" si="3"/>
        <v>102906414</v>
      </c>
      <c r="L19" s="12">
        <f t="shared" si="3"/>
        <v>10290641.4</v>
      </c>
      <c r="M19" s="12">
        <f t="shared" si="3"/>
        <v>92615772.599999994</v>
      </c>
    </row>
    <row r="20" spans="1:13" ht="15.75" thickBot="1" x14ac:dyDescent="0.3">
      <c r="A20" s="5"/>
      <c r="B20" s="5"/>
      <c r="C20" s="5"/>
      <c r="D20" s="6">
        <f>D19/C19</f>
        <v>0.15</v>
      </c>
      <c r="E20" s="7">
        <f>E19/D19</f>
        <v>0.22848948902284894</v>
      </c>
      <c r="F20" s="7">
        <f>F19/D19</f>
        <v>0.12837150001283715</v>
      </c>
      <c r="G20" s="7">
        <f>G19/D19</f>
        <v>9.816214500981621E-2</v>
      </c>
      <c r="H20" s="7">
        <f>H19/D19</f>
        <v>7.7856300007785623E-2</v>
      </c>
      <c r="I20" s="7">
        <f>I19/D19</f>
        <v>4.7622150004762213E-2</v>
      </c>
      <c r="J20" s="7">
        <f>J19/D19</f>
        <v>3.6936900003693686E-2</v>
      </c>
      <c r="K20" s="42">
        <f>K19/C19</f>
        <v>9.2615772609261571E-2</v>
      </c>
      <c r="L20" s="42">
        <f>L19/C19</f>
        <v>9.2615772609261574E-3</v>
      </c>
      <c r="M20" s="42">
        <f>M19/C19</f>
        <v>8.3354195348335408E-2</v>
      </c>
    </row>
  </sheetData>
  <mergeCells count="4">
    <mergeCell ref="A1:C2"/>
    <mergeCell ref="E1:J1"/>
    <mergeCell ref="K1:K2"/>
    <mergeCell ref="M1:M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22C5-1EDF-4DC5-B51E-A1817934CC0D}">
  <dimension ref="A1:M20"/>
  <sheetViews>
    <sheetView zoomScale="90" zoomScaleNormal="90" workbookViewId="0">
      <selection activeCell="E2" sqref="E2:J2"/>
    </sheetView>
  </sheetViews>
  <sheetFormatPr defaultRowHeight="15" x14ac:dyDescent="0.25"/>
  <cols>
    <col min="2" max="2" width="8.85546875" bestFit="1" customWidth="1"/>
    <col min="3" max="3" width="20.85546875" bestFit="1" customWidth="1"/>
    <col min="4" max="4" width="12.42578125" bestFit="1" customWidth="1"/>
    <col min="5" max="8" width="11.42578125" bestFit="1" customWidth="1"/>
    <col min="9" max="10" width="9.85546875" bestFit="1" customWidth="1"/>
    <col min="11" max="11" width="18" bestFit="1" customWidth="1"/>
    <col min="12" max="12" width="22.28515625" bestFit="1" customWidth="1"/>
    <col min="13" max="13" width="25" bestFit="1" customWidth="1"/>
  </cols>
  <sheetData>
    <row r="1" spans="1:13" ht="20.25" thickBot="1" x14ac:dyDescent="0.3">
      <c r="A1" s="39" t="s">
        <v>39</v>
      </c>
      <c r="B1" s="39"/>
      <c r="C1" s="39"/>
      <c r="D1" s="2" t="s">
        <v>8</v>
      </c>
      <c r="E1" s="43" t="s">
        <v>121</v>
      </c>
      <c r="F1" s="43"/>
      <c r="G1" s="43"/>
      <c r="H1" s="43"/>
      <c r="I1" s="43"/>
      <c r="J1" s="43"/>
      <c r="K1" s="26" t="s">
        <v>43</v>
      </c>
      <c r="L1" s="2" t="s">
        <v>6</v>
      </c>
      <c r="M1" s="26" t="s">
        <v>44</v>
      </c>
    </row>
    <row r="2" spans="1:13" ht="20.25" thickBot="1" x14ac:dyDescent="0.3">
      <c r="A2" s="39"/>
      <c r="B2" s="39"/>
      <c r="C2" s="39"/>
      <c r="D2" s="15">
        <v>0.15</v>
      </c>
      <c r="E2" s="41">
        <v>0.23</v>
      </c>
      <c r="F2" s="41">
        <v>0.13</v>
      </c>
      <c r="G2" s="41">
        <v>0.1</v>
      </c>
      <c r="H2" s="41">
        <v>0.08</v>
      </c>
      <c r="I2" s="41">
        <v>0.05</v>
      </c>
      <c r="J2" s="41">
        <v>0.04</v>
      </c>
      <c r="K2" s="27"/>
      <c r="L2" s="15">
        <v>0.1</v>
      </c>
      <c r="M2" s="27"/>
    </row>
    <row r="3" spans="1:13" ht="20.25" thickBot="1" x14ac:dyDescent="0.3">
      <c r="A3" s="2" t="s">
        <v>45</v>
      </c>
      <c r="B3" s="5" t="s">
        <v>76</v>
      </c>
      <c r="C3" s="9">
        <v>51111</v>
      </c>
      <c r="D3" s="11">
        <f>C3*D2</f>
        <v>7666.65</v>
      </c>
      <c r="E3" s="11">
        <f>D4*E2</f>
        <v>36570</v>
      </c>
      <c r="F3" s="11">
        <f>D5*F2</f>
        <v>52650</v>
      </c>
      <c r="G3" s="11">
        <f>D6*G2</f>
        <v>79500</v>
      </c>
      <c r="H3" s="11">
        <f>D7*H2</f>
        <v>132000</v>
      </c>
      <c r="I3" s="11">
        <f>D8*I2</f>
        <v>187500</v>
      </c>
      <c r="J3" s="11">
        <f>D9*J2</f>
        <v>660000</v>
      </c>
      <c r="K3" s="11">
        <f t="shared" ref="K3:K18" si="0">SUM(E3:J3)</f>
        <v>1148220</v>
      </c>
      <c r="L3" s="11">
        <f>(K3*L2)</f>
        <v>114822</v>
      </c>
      <c r="M3" s="11">
        <f t="shared" ref="M3:M18" si="1">K3-L3</f>
        <v>1033398</v>
      </c>
    </row>
    <row r="4" spans="1:13" ht="20.25" thickBot="1" x14ac:dyDescent="0.3">
      <c r="A4" s="2" t="s">
        <v>46</v>
      </c>
      <c r="B4" s="5" t="s">
        <v>61</v>
      </c>
      <c r="C4" s="9">
        <v>1060000</v>
      </c>
      <c r="D4" s="11">
        <f>C4*D2</f>
        <v>159000</v>
      </c>
      <c r="E4" s="11">
        <f>D5*E2</f>
        <v>93150</v>
      </c>
      <c r="F4" s="11">
        <f>D6*F2</f>
        <v>103350</v>
      </c>
      <c r="G4" s="11">
        <f>D7*G2</f>
        <v>165000</v>
      </c>
      <c r="H4" s="11">
        <f>D8*H2</f>
        <v>300000</v>
      </c>
      <c r="I4" s="11">
        <f>D9*I2</f>
        <v>825000</v>
      </c>
      <c r="J4" s="11">
        <f>D10*J2</f>
        <v>180000</v>
      </c>
      <c r="K4" s="11">
        <f t="shared" si="0"/>
        <v>1666500</v>
      </c>
      <c r="L4" s="11">
        <f>(K4*L2)</f>
        <v>166650</v>
      </c>
      <c r="M4" s="11">
        <f t="shared" si="1"/>
        <v>1499850</v>
      </c>
    </row>
    <row r="5" spans="1:13" ht="20.25" thickBot="1" x14ac:dyDescent="0.3">
      <c r="A5" s="2" t="s">
        <v>47</v>
      </c>
      <c r="B5" s="5" t="s">
        <v>62</v>
      </c>
      <c r="C5" s="9">
        <v>2700000</v>
      </c>
      <c r="D5" s="11">
        <f>C5*D2</f>
        <v>405000</v>
      </c>
      <c r="E5" s="11">
        <f>D6*E2</f>
        <v>182850</v>
      </c>
      <c r="F5" s="11">
        <f>D7*F2</f>
        <v>214500</v>
      </c>
      <c r="G5" s="11">
        <f>D8*G2</f>
        <v>375000</v>
      </c>
      <c r="H5" s="11">
        <f>D9*H2</f>
        <v>1320000</v>
      </c>
      <c r="I5" s="11">
        <f>D10*I2</f>
        <v>225000</v>
      </c>
      <c r="J5" s="11">
        <f>D11*J2</f>
        <v>48000</v>
      </c>
      <c r="K5" s="11">
        <f t="shared" si="0"/>
        <v>2365350</v>
      </c>
      <c r="L5" s="11">
        <f>(K5*L2)</f>
        <v>236535</v>
      </c>
      <c r="M5" s="11">
        <f t="shared" si="1"/>
        <v>2128815</v>
      </c>
    </row>
    <row r="6" spans="1:13" ht="20.25" thickBot="1" x14ac:dyDescent="0.3">
      <c r="A6" s="2" t="s">
        <v>48</v>
      </c>
      <c r="B6" s="5" t="s">
        <v>64</v>
      </c>
      <c r="C6" s="9">
        <v>5300000</v>
      </c>
      <c r="D6" s="11">
        <f>C6*D2</f>
        <v>795000</v>
      </c>
      <c r="E6" s="11">
        <f>D7*E2</f>
        <v>379500</v>
      </c>
      <c r="F6" s="11">
        <f>D8*F2</f>
        <v>487500</v>
      </c>
      <c r="G6" s="11">
        <f>D9*G2</f>
        <v>1650000</v>
      </c>
      <c r="H6" s="11">
        <f>D10*H2</f>
        <v>360000</v>
      </c>
      <c r="I6" s="11">
        <f>D11*I2</f>
        <v>60000</v>
      </c>
      <c r="J6" s="11">
        <f>D12*J2</f>
        <v>45000</v>
      </c>
      <c r="K6" s="11">
        <f t="shared" si="0"/>
        <v>2982000</v>
      </c>
      <c r="L6" s="11">
        <f>(K6*L2)</f>
        <v>298200</v>
      </c>
      <c r="M6" s="11">
        <f t="shared" si="1"/>
        <v>2683800</v>
      </c>
    </row>
    <row r="7" spans="1:13" ht="20.25" thickBot="1" x14ac:dyDescent="0.3">
      <c r="A7" s="2" t="s">
        <v>49</v>
      </c>
      <c r="B7" s="5" t="s">
        <v>68</v>
      </c>
      <c r="C7" s="9">
        <v>11000000</v>
      </c>
      <c r="D7" s="11">
        <f>C7*D2</f>
        <v>1650000</v>
      </c>
      <c r="E7" s="11">
        <f>D8*E2</f>
        <v>862500</v>
      </c>
      <c r="F7" s="11">
        <f>D9*F2</f>
        <v>2145000</v>
      </c>
      <c r="G7" s="11">
        <f>D10*G2</f>
        <v>450000</v>
      </c>
      <c r="H7" s="11">
        <f>D11*H2</f>
        <v>96000</v>
      </c>
      <c r="I7" s="11">
        <f>D12*I2</f>
        <v>56250</v>
      </c>
      <c r="J7" s="11">
        <f>D13*J2</f>
        <v>135000</v>
      </c>
      <c r="K7" s="11">
        <f t="shared" si="0"/>
        <v>3744750</v>
      </c>
      <c r="L7" s="11">
        <f>(K7*L2)</f>
        <v>374475</v>
      </c>
      <c r="M7" s="11">
        <f t="shared" si="1"/>
        <v>3370275</v>
      </c>
    </row>
    <row r="8" spans="1:13" ht="20.25" thickBot="1" x14ac:dyDescent="0.3">
      <c r="A8" s="2" t="s">
        <v>50</v>
      </c>
      <c r="B8" s="5" t="s">
        <v>63</v>
      </c>
      <c r="C8" s="9">
        <v>25000000</v>
      </c>
      <c r="D8" s="11">
        <f>C8*D2</f>
        <v>3750000</v>
      </c>
      <c r="E8" s="11">
        <f>D9*E2</f>
        <v>3795000</v>
      </c>
      <c r="F8" s="11">
        <f>D10*F2</f>
        <v>585000</v>
      </c>
      <c r="G8" s="11">
        <f>D11*G2</f>
        <v>120000</v>
      </c>
      <c r="H8" s="11">
        <f>D12*H2</f>
        <v>90000</v>
      </c>
      <c r="I8" s="11">
        <f>D13*I2</f>
        <v>168750</v>
      </c>
      <c r="J8" s="11">
        <f>D14*J2</f>
        <v>3600000</v>
      </c>
      <c r="K8" s="11">
        <f t="shared" si="0"/>
        <v>8358750</v>
      </c>
      <c r="L8" s="11">
        <f>(K8*L2)</f>
        <v>835875</v>
      </c>
      <c r="M8" s="11">
        <f t="shared" si="1"/>
        <v>7522875</v>
      </c>
    </row>
    <row r="9" spans="1:13" ht="20.25" thickBot="1" x14ac:dyDescent="0.3">
      <c r="A9" s="2" t="s">
        <v>51</v>
      </c>
      <c r="B9" s="5" t="s">
        <v>67</v>
      </c>
      <c r="C9" s="9">
        <v>110000000</v>
      </c>
      <c r="D9" s="11">
        <f>C9*D2</f>
        <v>16500000</v>
      </c>
      <c r="E9" s="11">
        <f>D10*E2</f>
        <v>1035000</v>
      </c>
      <c r="F9" s="11">
        <f>D11*F2</f>
        <v>156000</v>
      </c>
      <c r="G9" s="11">
        <f>D12*G2</f>
        <v>112500</v>
      </c>
      <c r="H9" s="11">
        <f>D13*H2</f>
        <v>270000</v>
      </c>
      <c r="I9" s="11">
        <f>D14*I2</f>
        <v>4500000</v>
      </c>
      <c r="J9" s="11">
        <f>D15*J2</f>
        <v>900000</v>
      </c>
      <c r="K9" s="11">
        <f t="shared" si="0"/>
        <v>6973500</v>
      </c>
      <c r="L9" s="11">
        <f>(K9*L2)</f>
        <v>697350</v>
      </c>
      <c r="M9" s="11">
        <f t="shared" si="1"/>
        <v>6276150</v>
      </c>
    </row>
    <row r="10" spans="1:13" ht="20.25" thickBot="1" x14ac:dyDescent="0.3">
      <c r="A10" s="2" t="s">
        <v>52</v>
      </c>
      <c r="B10" s="5" t="s">
        <v>66</v>
      </c>
      <c r="C10" s="9">
        <v>30000000</v>
      </c>
      <c r="D10" s="11">
        <f>C10*D2</f>
        <v>4500000</v>
      </c>
      <c r="E10" s="11">
        <f>D11*E2</f>
        <v>276000</v>
      </c>
      <c r="F10" s="11">
        <f>D12*F2</f>
        <v>146250</v>
      </c>
      <c r="G10" s="11">
        <f>D13*G2</f>
        <v>337500</v>
      </c>
      <c r="H10" s="11">
        <f>D14*H2</f>
        <v>7200000</v>
      </c>
      <c r="I10" s="11">
        <f>D15*I2</f>
        <v>1125000</v>
      </c>
      <c r="J10" s="11">
        <f>D16*J2</f>
        <v>318000</v>
      </c>
      <c r="K10" s="11">
        <f t="shared" si="0"/>
        <v>9402750</v>
      </c>
      <c r="L10" s="11">
        <f>(K10*L2)</f>
        <v>940275</v>
      </c>
      <c r="M10" s="11">
        <f t="shared" si="1"/>
        <v>8462475</v>
      </c>
    </row>
    <row r="11" spans="1:13" ht="20.25" thickBot="1" x14ac:dyDescent="0.3">
      <c r="A11" s="2" t="s">
        <v>53</v>
      </c>
      <c r="B11" s="5" t="s">
        <v>65</v>
      </c>
      <c r="C11" s="9">
        <v>8000000</v>
      </c>
      <c r="D11" s="11">
        <f>C11*D2</f>
        <v>1200000</v>
      </c>
      <c r="E11" s="11">
        <f>D12*E2</f>
        <v>258750</v>
      </c>
      <c r="F11" s="11">
        <f>D13*F2</f>
        <v>438750</v>
      </c>
      <c r="G11" s="11">
        <f>D14*G2</f>
        <v>9000000</v>
      </c>
      <c r="H11" s="11">
        <f>D15*H2</f>
        <v>1800000</v>
      </c>
      <c r="I11" s="11">
        <f>D16*I2</f>
        <v>397500</v>
      </c>
      <c r="J11" s="11">
        <f>D17*J2</f>
        <v>450000</v>
      </c>
      <c r="K11" s="11">
        <f t="shared" si="0"/>
        <v>12345000</v>
      </c>
      <c r="L11" s="11">
        <f>(K11*L2)</f>
        <v>1234500</v>
      </c>
      <c r="M11" s="11">
        <f t="shared" si="1"/>
        <v>11110500</v>
      </c>
    </row>
    <row r="12" spans="1:13" ht="20.25" thickBot="1" x14ac:dyDescent="0.3">
      <c r="A12" s="2" t="s">
        <v>54</v>
      </c>
      <c r="B12" s="5" t="s">
        <v>69</v>
      </c>
      <c r="C12" s="9">
        <v>7500000</v>
      </c>
      <c r="D12" s="11">
        <f>C12*D2</f>
        <v>1125000</v>
      </c>
      <c r="E12" s="11">
        <f>D13*E2</f>
        <v>776250</v>
      </c>
      <c r="F12" s="11">
        <f>D14*F2</f>
        <v>11700000</v>
      </c>
      <c r="G12" s="11">
        <f>D15*G2</f>
        <v>2250000</v>
      </c>
      <c r="H12" s="11">
        <f>D16*H2</f>
        <v>636000</v>
      </c>
      <c r="I12" s="11">
        <f>D17*I2</f>
        <v>562500</v>
      </c>
      <c r="J12" s="11">
        <f>D18*J2</f>
        <v>60000</v>
      </c>
      <c r="K12" s="11">
        <f t="shared" si="0"/>
        <v>15984750</v>
      </c>
      <c r="L12" s="11">
        <f>(K12*L2)</f>
        <v>1598475</v>
      </c>
      <c r="M12" s="11">
        <f t="shared" si="1"/>
        <v>14386275</v>
      </c>
    </row>
    <row r="13" spans="1:13" ht="20.25" thickBot="1" x14ac:dyDescent="0.3">
      <c r="A13" s="2" t="s">
        <v>55</v>
      </c>
      <c r="B13" s="5" t="s">
        <v>70</v>
      </c>
      <c r="C13" s="9">
        <v>22500000</v>
      </c>
      <c r="D13" s="11">
        <f>C13*D2</f>
        <v>3375000</v>
      </c>
      <c r="E13" s="11">
        <f>D14*E2</f>
        <v>20700000</v>
      </c>
      <c r="F13" s="11">
        <f>D15*F2</f>
        <v>2925000</v>
      </c>
      <c r="G13" s="11">
        <f>D16*G2</f>
        <v>795000</v>
      </c>
      <c r="H13" s="11">
        <f>D17*H2</f>
        <v>900000</v>
      </c>
      <c r="I13" s="11">
        <f>D18*I2</f>
        <v>75000</v>
      </c>
      <c r="J13" s="11"/>
      <c r="K13" s="11">
        <f t="shared" si="0"/>
        <v>25395000</v>
      </c>
      <c r="L13" s="11">
        <f>(K13*L2)</f>
        <v>2539500</v>
      </c>
      <c r="M13" s="11">
        <f t="shared" si="1"/>
        <v>22855500</v>
      </c>
    </row>
    <row r="14" spans="1:13" ht="20.25" thickBot="1" x14ac:dyDescent="0.3">
      <c r="A14" s="2" t="s">
        <v>56</v>
      </c>
      <c r="B14" s="5" t="s">
        <v>71</v>
      </c>
      <c r="C14" s="9">
        <v>600000000</v>
      </c>
      <c r="D14" s="11">
        <f>C14*D2</f>
        <v>90000000</v>
      </c>
      <c r="E14" s="11">
        <f>D15*E2</f>
        <v>5175000</v>
      </c>
      <c r="F14" s="11">
        <f>D16*F2</f>
        <v>1033500</v>
      </c>
      <c r="G14" s="11">
        <f>D17*G2</f>
        <v>1125000</v>
      </c>
      <c r="H14" s="11">
        <f>D18*H2</f>
        <v>120000</v>
      </c>
      <c r="I14" s="11"/>
      <c r="J14" s="11"/>
      <c r="K14" s="11">
        <f t="shared" si="0"/>
        <v>7453500</v>
      </c>
      <c r="L14" s="11">
        <f>(K14*L2)</f>
        <v>745350</v>
      </c>
      <c r="M14" s="11">
        <f t="shared" si="1"/>
        <v>6708150</v>
      </c>
    </row>
    <row r="15" spans="1:13" ht="20.25" thickBot="1" x14ac:dyDescent="0.3">
      <c r="A15" s="2" t="s">
        <v>57</v>
      </c>
      <c r="B15" s="5" t="s">
        <v>72</v>
      </c>
      <c r="C15" s="9">
        <v>150000000</v>
      </c>
      <c r="D15" s="11">
        <f>C15*D2</f>
        <v>22500000</v>
      </c>
      <c r="E15" s="11">
        <f>D16*E2</f>
        <v>1828500</v>
      </c>
      <c r="F15" s="11">
        <f>D17*F2</f>
        <v>1462500</v>
      </c>
      <c r="G15" s="11">
        <f>D18*G2</f>
        <v>150000</v>
      </c>
      <c r="H15" s="11"/>
      <c r="I15" s="11"/>
      <c r="J15" s="11"/>
      <c r="K15" s="11">
        <f t="shared" si="0"/>
        <v>3441000</v>
      </c>
      <c r="L15" s="11">
        <f>(K15*L2)</f>
        <v>344100</v>
      </c>
      <c r="M15" s="11">
        <f t="shared" si="1"/>
        <v>3096900</v>
      </c>
    </row>
    <row r="16" spans="1:13" ht="20.25" thickBot="1" x14ac:dyDescent="0.3">
      <c r="A16" s="2" t="s">
        <v>58</v>
      </c>
      <c r="B16" s="5" t="s">
        <v>73</v>
      </c>
      <c r="C16" s="9">
        <v>53000000</v>
      </c>
      <c r="D16" s="11">
        <f>C16*D2</f>
        <v>7950000</v>
      </c>
      <c r="E16" s="11">
        <f>D17*E2</f>
        <v>2587500</v>
      </c>
      <c r="F16" s="11">
        <f>D18*F2</f>
        <v>195000</v>
      </c>
      <c r="G16" s="11"/>
      <c r="H16" s="11"/>
      <c r="I16" s="11"/>
      <c r="J16" s="11"/>
      <c r="K16" s="11">
        <f t="shared" si="0"/>
        <v>2782500</v>
      </c>
      <c r="L16" s="11">
        <f>(K16*L2)</f>
        <v>278250</v>
      </c>
      <c r="M16" s="11">
        <f t="shared" si="1"/>
        <v>2504250</v>
      </c>
    </row>
    <row r="17" spans="1:13" ht="20.25" thickBot="1" x14ac:dyDescent="0.3">
      <c r="A17" s="2" t="s">
        <v>59</v>
      </c>
      <c r="B17" s="5" t="s">
        <v>74</v>
      </c>
      <c r="C17" s="9">
        <v>75000000</v>
      </c>
      <c r="D17" s="11">
        <f>C17*D2</f>
        <v>11250000</v>
      </c>
      <c r="E17" s="11">
        <f>D18*E2</f>
        <v>345000</v>
      </c>
      <c r="F17" s="11"/>
      <c r="G17" s="11"/>
      <c r="H17" s="11"/>
      <c r="I17" s="11"/>
      <c r="J17" s="11"/>
      <c r="K17" s="11">
        <f t="shared" si="0"/>
        <v>345000</v>
      </c>
      <c r="L17" s="11">
        <f>(K17*L2)</f>
        <v>34500</v>
      </c>
      <c r="M17" s="11">
        <f t="shared" si="1"/>
        <v>310500</v>
      </c>
    </row>
    <row r="18" spans="1:13" ht="20.25" thickBot="1" x14ac:dyDescent="0.3">
      <c r="A18" s="2" t="s">
        <v>60</v>
      </c>
      <c r="B18" s="5" t="s">
        <v>75</v>
      </c>
      <c r="C18" s="9">
        <v>10000000</v>
      </c>
      <c r="D18" s="11">
        <f>C18*D2</f>
        <v>1500000</v>
      </c>
      <c r="E18" s="11"/>
      <c r="F18" s="11"/>
      <c r="G18" s="11"/>
      <c r="H18" s="11"/>
      <c r="I18" s="11"/>
      <c r="J18" s="11"/>
      <c r="K18" s="11">
        <f t="shared" si="0"/>
        <v>0</v>
      </c>
      <c r="L18" s="11">
        <f>(K18*L2)</f>
        <v>0</v>
      </c>
      <c r="M18" s="11">
        <f t="shared" si="1"/>
        <v>0</v>
      </c>
    </row>
    <row r="19" spans="1:13" ht="20.25" thickBot="1" x14ac:dyDescent="0.3">
      <c r="A19" s="2" t="s">
        <v>7</v>
      </c>
      <c r="B19" s="5"/>
      <c r="C19" s="10">
        <f t="shared" ref="C19:D19" si="2">SUM(C3:C18)</f>
        <v>1111111111</v>
      </c>
      <c r="D19" s="11">
        <f t="shared" si="2"/>
        <v>166666666.65000001</v>
      </c>
      <c r="E19" s="11">
        <f t="shared" ref="E19:M19" si="3">SUM(E3:E18)</f>
        <v>38331570</v>
      </c>
      <c r="F19" s="11">
        <f t="shared" si="3"/>
        <v>21645000</v>
      </c>
      <c r="G19" s="11">
        <f t="shared" si="3"/>
        <v>16609500</v>
      </c>
      <c r="H19" s="11">
        <f t="shared" si="3"/>
        <v>13224000</v>
      </c>
      <c r="I19" s="11">
        <f t="shared" si="3"/>
        <v>8182500</v>
      </c>
      <c r="J19" s="11">
        <f t="shared" si="3"/>
        <v>6396000</v>
      </c>
      <c r="K19" s="12">
        <f t="shared" si="3"/>
        <v>104388570</v>
      </c>
      <c r="L19" s="12">
        <f t="shared" si="3"/>
        <v>10438857</v>
      </c>
      <c r="M19" s="12">
        <f t="shared" si="3"/>
        <v>93949713</v>
      </c>
    </row>
    <row r="20" spans="1:13" ht="15.75" thickBot="1" x14ac:dyDescent="0.3">
      <c r="A20" s="5"/>
      <c r="B20" s="5"/>
      <c r="C20" s="5"/>
      <c r="D20" s="6">
        <f>D19/C19</f>
        <v>0.15</v>
      </c>
      <c r="E20" s="6">
        <f>E19/D19</f>
        <v>0.22998942002299894</v>
      </c>
      <c r="F20" s="6">
        <f>F19/D19</f>
        <v>0.12987000001298699</v>
      </c>
      <c r="G20" s="6">
        <f>G19/D19</f>
        <v>9.9657000009965691E-2</v>
      </c>
      <c r="H20" s="6">
        <f>H19/D19</f>
        <v>7.9344000007934401E-2</v>
      </c>
      <c r="I20" s="6">
        <f>I19/D19</f>
        <v>4.9095000004909496E-2</v>
      </c>
      <c r="J20" s="6">
        <f>J19/D19</f>
        <v>3.8376000003837597E-2</v>
      </c>
      <c r="K20" s="42">
        <f>K19/C19</f>
        <v>9.3949713009394975E-2</v>
      </c>
      <c r="L20" s="42">
        <f>L19/C19</f>
        <v>9.3949713009394975E-3</v>
      </c>
      <c r="M20" s="42">
        <f>M19/C19</f>
        <v>8.4554741708455478E-2</v>
      </c>
    </row>
  </sheetData>
  <mergeCells count="4">
    <mergeCell ref="A1:C2"/>
    <mergeCell ref="E1:J1"/>
    <mergeCell ref="K1:K2"/>
    <mergeCell ref="M1:M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</vt:lpstr>
      <vt:lpstr>Sheet1</vt:lpstr>
      <vt:lpstr>Sheet2</vt:lpstr>
      <vt:lpstr>BRONZE</vt:lpstr>
      <vt:lpstr>SILVER</vt:lpstr>
      <vt:lpstr>GOLD</vt:lpstr>
      <vt:lpstr>PLATINUM</vt:lpstr>
      <vt:lpstr>DIAMOND</vt:lpstr>
      <vt:lpstr>AMBASSADOR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Orbit Mumbai Support</cp:lastModifiedBy>
  <dcterms:created xsi:type="dcterms:W3CDTF">2015-06-05T18:17:20Z</dcterms:created>
  <dcterms:modified xsi:type="dcterms:W3CDTF">2026-02-26T10:15:58Z</dcterms:modified>
</cp:coreProperties>
</file>